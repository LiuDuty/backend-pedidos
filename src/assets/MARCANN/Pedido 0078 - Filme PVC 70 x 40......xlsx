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Meu laptop\Nuvem\CLIENTES BRASIL SUL\CONDUMAX\OC - PEDIDOS\"/>
    </mc:Choice>
  </mc:AlternateContent>
  <xr:revisionPtr revIDLastSave="0" documentId="13_ncr:1_{FCA4C3E2-B9E1-47C7-B78D-DA9BA694A233}" xr6:coauthVersionLast="47" xr6:coauthVersionMax="47" xr10:uidLastSave="{00000000-0000-0000-0000-000000000000}"/>
  <bookViews>
    <workbookView xWindow="-110" yWindow="-110" windowWidth="19420" windowHeight="10300" xr2:uid="{7135C9FC-B1E9-4B2B-A6B9-91FE1D5519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2" i="1" l="1"/>
  <c r="AD32" i="1"/>
</calcChain>
</file>

<file path=xl/sharedStrings.xml><?xml version="1.0" encoding="utf-8"?>
<sst xmlns="http://schemas.openxmlformats.org/spreadsheetml/2006/main" count="103" uniqueCount="78">
  <si>
    <t>FORNECEDOR</t>
  </si>
  <si>
    <t>ENDEREÇO</t>
  </si>
  <si>
    <t>BAIRRO</t>
  </si>
  <si>
    <t>TELEFONE</t>
  </si>
  <si>
    <t>NUMERO</t>
  </si>
  <si>
    <t>CEP</t>
  </si>
  <si>
    <t>CIDADE</t>
  </si>
  <si>
    <t>UF</t>
  </si>
  <si>
    <t>SC</t>
  </si>
  <si>
    <t>E-MAIL</t>
  </si>
  <si>
    <t>CNPJ</t>
  </si>
  <si>
    <t>INSCRIÇÃO ESTADUAL</t>
  </si>
  <si>
    <t>CLIENTE</t>
  </si>
  <si>
    <t>EMAIL Nfe</t>
  </si>
  <si>
    <t>DATA DE ENTREGA NO CLIENTE</t>
  </si>
  <si>
    <t>PEDIDO</t>
  </si>
  <si>
    <t>DATA DO PEDIDO</t>
  </si>
  <si>
    <t>ORDEM DE COMPRA DO CLIENTE</t>
  </si>
  <si>
    <t>ENDEREÇO DE COBRANÇA</t>
  </si>
  <si>
    <t>CONTATO</t>
  </si>
  <si>
    <t>TRANSPORTADORA</t>
  </si>
  <si>
    <t>FRETE</t>
  </si>
  <si>
    <t>CIF</t>
  </si>
  <si>
    <t>FOB</t>
  </si>
  <si>
    <t>CONDIÇÃO DE PAGAMENTO</t>
  </si>
  <si>
    <t>QUANTIDADE</t>
  </si>
  <si>
    <t>PRODUTO</t>
  </si>
  <si>
    <t>IPI (%)</t>
  </si>
  <si>
    <t>OBSERVAÇÕES</t>
  </si>
  <si>
    <t>Representante:</t>
  </si>
  <si>
    <t xml:space="preserve">11 94972-4778 </t>
  </si>
  <si>
    <t>MARCIO FERNANDES LUCCHESE</t>
  </si>
  <si>
    <t>CEL.</t>
  </si>
  <si>
    <t>BRASIL SUL EMBALAGENS LTDA.</t>
  </si>
  <si>
    <t>RUA KURT HANS CLAUSS</t>
  </si>
  <si>
    <t>89275-000</t>
  </si>
  <si>
    <t>CENTRO NORTE</t>
  </si>
  <si>
    <t>SCHROEDER</t>
  </si>
  <si>
    <t>47 3374-6100</t>
  </si>
  <si>
    <t>p.pra@brasilsulembalagens.com.br</t>
  </si>
  <si>
    <t>04.910.603/0001-81</t>
  </si>
  <si>
    <t>LARGURA (mm)</t>
  </si>
  <si>
    <t>ESPESSURA (m)</t>
  </si>
  <si>
    <t>SUB TOTAL (R$)</t>
  </si>
  <si>
    <t>TOTAL (R$)</t>
  </si>
  <si>
    <t>UND</t>
  </si>
  <si>
    <t>COMPRIMENTO (m)</t>
  </si>
  <si>
    <t>PREÇO/UND (R$)</t>
  </si>
  <si>
    <t>53.224.127/0005-84</t>
  </si>
  <si>
    <t>JOSELAINE LAZARIM</t>
  </si>
  <si>
    <t>joselaine.lazarim@condumax.com.br</t>
  </si>
  <si>
    <t>17 3279-3726</t>
  </si>
  <si>
    <t>CONDUMAX - ELETRO METALURGICA CIAFUNDI LTDA.</t>
  </si>
  <si>
    <t>RODOVIA WILQUEM MANOEL NEVES, KM 3,5</t>
  </si>
  <si>
    <t>S/N</t>
  </si>
  <si>
    <t>15400-000</t>
  </si>
  <si>
    <t>OLIMPIA</t>
  </si>
  <si>
    <t>SP</t>
  </si>
  <si>
    <t>nfe@condumax.com.br</t>
  </si>
  <si>
    <t>RECANTO BELA VISTA</t>
  </si>
  <si>
    <t>JARDIM ANDARAÍ</t>
  </si>
  <si>
    <t>SÃO PAULO</t>
  </si>
  <si>
    <t>61.683.652/0002-43</t>
  </si>
  <si>
    <t>TRANSFACE TRANSPORTES LTDA.</t>
  </si>
  <si>
    <t>11 2207-7070</t>
  </si>
  <si>
    <t>RUA SERAFIM POLI</t>
  </si>
  <si>
    <t>02169-010</t>
  </si>
  <si>
    <t>ENDERERÇO DE ENTREGA</t>
  </si>
  <si>
    <t>X</t>
  </si>
  <si>
    <t>28 DIAS DA DATA DE FATURAMENTO, LÍQUIDO</t>
  </si>
  <si>
    <t>FILME 70 MM X 40 MICRA - TUBETE 76 MM - DIAMETRO EXTERNO 180 MM - (EMBALAGEM DE ROLOS DE FIOS ELETRICOS)</t>
  </si>
  <si>
    <t xml:space="preserve">FRETE CIF SÃO PAULO (SP) TRANSFACE TRANSPORTES LTDA - RUA SERAFIM POLI, 59 - JD. ANDARAÍ - SÃO PAULO - CEP 02169-010 </t>
  </si>
  <si>
    <t>CNPJ: 61.683.652/0002-43 - IE: 208.079.985.115   -   TELEFONE 11 2207-7070</t>
  </si>
  <si>
    <t>* DATA DE ENTREGA NA TRANSPORTADORA: 01/08/2025</t>
  </si>
  <si>
    <t>ENVIAR LAUDO (CERTIFICADO DE ANALISE) POR E-MAIL JUNTO COM A NOTA FISCAL E BOLETO.</t>
  </si>
  <si>
    <t xml:space="preserve">ICMS (INCLUSO): 4% </t>
  </si>
  <si>
    <t>KG</t>
  </si>
  <si>
    <t>FILME PVC 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</si>
</sst>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3" xfId="0" applyBorder="1"/>
    <xf numFmtId="0" fontId="2" fillId="0" borderId="7" xfId="0" applyFont="1" applyBorder="1"/>
    <xf numFmtId="0" fontId="2" fillId="0" borderId="8" xfId="0" applyFont="1" applyBorder="1"/>
    <xf numFmtId="0" fontId="0" fillId="0" borderId="8" xfId="0" applyBorder="1"/>
    <xf numFmtId="0" fontId="2" fillId="0" borderId="9" xfId="0" applyFont="1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Border="1"/>
    <xf numFmtId="3" fontId="1" fillId="0" borderId="8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11" xfId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2" borderId="10" xfId="1" applyFill="1" applyBorder="1" applyAlignment="1">
      <alignment horizontal="center" vertical="center"/>
    </xf>
    <xf numFmtId="0" fontId="4" fillId="2" borderId="11" xfId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2" borderId="10" xfId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 vertical="center"/>
    </xf>
    <xf numFmtId="3" fontId="3" fillId="2" borderId="12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3" fontId="9" fillId="0" borderId="0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/>
    </xf>
    <xf numFmtId="4" fontId="9" fillId="0" borderId="0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4" fontId="9" fillId="2" borderId="10" xfId="0" applyNumberFormat="1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3</xdr:row>
      <xdr:rowOff>190500</xdr:rowOff>
    </xdr:from>
    <xdr:to>
      <xdr:col>29</xdr:col>
      <xdr:colOff>311150</xdr:colOff>
      <xdr:row>8</xdr:row>
      <xdr:rowOff>165100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F068E1C6-FF99-4B11-8346-EB705F8ACD67}"/>
            </a:ext>
          </a:extLst>
        </xdr:cNvPr>
        <xdr:cNvSpPr txBox="1">
          <a:spLocks noChangeArrowheads="1"/>
        </xdr:cNvSpPr>
      </xdr:nvSpPr>
      <xdr:spPr bwMode="auto">
        <a:xfrm>
          <a:off x="2171700" y="565150"/>
          <a:ext cx="71691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200" b="1">
              <a:effectLst/>
              <a:latin typeface="Arial" panose="020B0604020202020204" pitchFamily="34" charset="0"/>
              <a:ea typeface="Times New Roman"/>
              <a:cs typeface="Arial" panose="020B0604020202020204" pitchFamily="34" charset="0"/>
            </a:rPr>
            <a:t>M F LUCCHESE ASSESSORIA E CONSULTORIA EMPRESARIAL LTDA.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200" b="1" baseline="0">
              <a:effectLst/>
              <a:latin typeface="Arial" panose="020B0604020202020204" pitchFamily="34" charset="0"/>
              <a:ea typeface="Times New Roman"/>
              <a:cs typeface="Arial" panose="020B0604020202020204" pitchFamily="34" charset="0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100" b="1">
            <a:effectLst/>
            <a:latin typeface="Arial" panose="020B0604020202020204" pitchFamily="34" charset="0"/>
            <a:ea typeface="Times New Roman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133350</xdr:colOff>
      <xdr:row>2</xdr:row>
      <xdr:rowOff>190500</xdr:rowOff>
    </xdr:from>
    <xdr:to>
      <xdr:col>10</xdr:col>
      <xdr:colOff>169333</xdr:colOff>
      <xdr:row>8</xdr:row>
      <xdr:rowOff>131233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67EA336-B7EE-4FDA-AD24-9A8BF1F2C14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68300"/>
          <a:ext cx="2518833" cy="11535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fe@condumax.com.br" TargetMode="External"/><Relationship Id="rId2" Type="http://schemas.openxmlformats.org/officeDocument/2006/relationships/hyperlink" Target="mailto:joselaine.lazarim@condumax.com.br" TargetMode="External"/><Relationship Id="rId1" Type="http://schemas.openxmlformats.org/officeDocument/2006/relationships/hyperlink" Target="mailto:p.pra@brasilsulembalagens.com.b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F52A-C1A3-41C8-AF9B-2A6D47DC1FC1}">
  <dimension ref="A1:AQ249"/>
  <sheetViews>
    <sheetView tabSelected="1" topLeftCell="A21" zoomScaleNormal="100" workbookViewId="0">
      <selection activeCell="O26" sqref="O26:X26"/>
    </sheetView>
  </sheetViews>
  <sheetFormatPr defaultRowHeight="14.5" x14ac:dyDescent="0.35"/>
  <cols>
    <col min="1" max="1" width="0.6328125" customWidth="1"/>
    <col min="2" max="2" width="1.08984375" customWidth="1"/>
    <col min="3" max="4" width="4.6328125" customWidth="1"/>
    <col min="5" max="5" width="3.7265625" customWidth="1"/>
    <col min="6" max="6" width="5.453125" customWidth="1"/>
    <col min="7" max="7" width="6" customWidth="1"/>
    <col min="8" max="8" width="1.26953125" customWidth="1"/>
    <col min="9" max="9" width="5.7265625" customWidth="1"/>
    <col min="10" max="10" width="4.08984375" customWidth="1"/>
    <col min="11" max="11" width="4.6328125" customWidth="1"/>
    <col min="12" max="12" width="3" customWidth="1"/>
    <col min="13" max="13" width="5.54296875" customWidth="1"/>
    <col min="14" max="14" width="3" customWidth="1"/>
    <col min="15" max="15" width="4.6328125" customWidth="1"/>
    <col min="16" max="16" width="3.453125" customWidth="1"/>
    <col min="17" max="17" width="4.6328125" customWidth="1"/>
    <col min="18" max="18" width="3.7265625" customWidth="1"/>
    <col min="19" max="19" width="5" customWidth="1"/>
    <col min="20" max="20" width="5.7265625" customWidth="1"/>
    <col min="21" max="21" width="5.1796875" customWidth="1"/>
    <col min="22" max="22" width="5.7265625" customWidth="1"/>
    <col min="23" max="23" width="4.1796875" customWidth="1"/>
    <col min="24" max="24" width="5.08984375" customWidth="1"/>
    <col min="25" max="25" width="3.54296875" customWidth="1"/>
    <col min="26" max="26" width="6.81640625" customWidth="1"/>
    <col min="27" max="27" width="4.90625" customWidth="1"/>
    <col min="28" max="28" width="6.36328125" customWidth="1"/>
    <col min="29" max="29" width="5.26953125" customWidth="1"/>
    <col min="30" max="30" width="4.6328125" customWidth="1"/>
    <col min="31" max="31" width="4" customWidth="1"/>
    <col min="32" max="32" width="5.453125" customWidth="1"/>
    <col min="33" max="33" width="7.54296875" customWidth="1"/>
    <col min="34" max="34" width="3.08984375" customWidth="1"/>
    <col min="35" max="36" width="4.6328125" customWidth="1"/>
    <col min="37" max="37" width="5" customWidth="1"/>
    <col min="38" max="38" width="1.08984375" customWidth="1"/>
  </cols>
  <sheetData>
    <row r="1" spans="1:43" ht="7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43" ht="7" customHeight="1" thickBot="1" x14ac:dyDescent="0.4">
      <c r="A2" s="1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12"/>
    </row>
    <row r="3" spans="1:43" ht="15.5" customHeight="1" x14ac:dyDescent="0.35">
      <c r="A3" s="1"/>
      <c r="B3" s="1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2"/>
      <c r="AL3" s="17"/>
    </row>
    <row r="4" spans="1:43" ht="16" x14ac:dyDescent="0.4">
      <c r="A4" s="1"/>
      <c r="B4" s="15"/>
      <c r="C4" s="1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AK4" s="20"/>
      <c r="AL4" s="17"/>
      <c r="AN4" s="21"/>
      <c r="AO4" s="21"/>
      <c r="AP4" s="21"/>
      <c r="AQ4" s="22"/>
    </row>
    <row r="5" spans="1:43" ht="16.5" thickBot="1" x14ac:dyDescent="0.45">
      <c r="A5" s="1"/>
      <c r="B5" s="15"/>
      <c r="C5" s="1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AC5" s="109" t="s">
        <v>29</v>
      </c>
      <c r="AD5" s="109"/>
      <c r="AE5" s="109"/>
      <c r="AF5" s="109"/>
      <c r="AG5" s="109"/>
      <c r="AH5" s="109"/>
      <c r="AI5" s="109"/>
      <c r="AJ5" s="109"/>
      <c r="AK5" s="20"/>
      <c r="AL5" s="16"/>
      <c r="AN5" s="112"/>
      <c r="AO5" s="112"/>
      <c r="AP5" s="112"/>
      <c r="AQ5" s="112"/>
    </row>
    <row r="6" spans="1:43" ht="16" thickBot="1" x14ac:dyDescent="0.4">
      <c r="A6" s="1"/>
      <c r="B6" s="15"/>
      <c r="C6" s="1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AC6" s="106" t="s">
        <v>31</v>
      </c>
      <c r="AD6" s="107"/>
      <c r="AE6" s="107"/>
      <c r="AF6" s="107"/>
      <c r="AG6" s="107"/>
      <c r="AH6" s="107"/>
      <c r="AI6" s="107"/>
      <c r="AJ6" s="108"/>
      <c r="AK6" s="20"/>
      <c r="AL6" s="16"/>
      <c r="AN6" s="23"/>
      <c r="AO6" s="24"/>
      <c r="AP6" s="23"/>
      <c r="AQ6" s="24"/>
    </row>
    <row r="7" spans="1:43" ht="16" thickBot="1" x14ac:dyDescent="0.4">
      <c r="A7" s="1"/>
      <c r="B7" s="15"/>
      <c r="C7" s="70"/>
      <c r="D7" s="71"/>
      <c r="E7" s="71"/>
      <c r="F7" s="45"/>
      <c r="G7" s="45"/>
      <c r="H7" s="45"/>
      <c r="I7" s="45"/>
      <c r="J7" s="45"/>
      <c r="K7" s="46"/>
      <c r="L7" s="45"/>
      <c r="M7" s="45"/>
      <c r="N7" s="45"/>
      <c r="O7" s="45"/>
      <c r="P7" s="45"/>
      <c r="Q7" s="45"/>
      <c r="R7" s="45"/>
      <c r="S7" s="71"/>
      <c r="T7" s="71"/>
      <c r="U7" s="71"/>
      <c r="V7" s="46"/>
      <c r="W7" s="46"/>
      <c r="X7" s="46"/>
      <c r="Y7" s="46"/>
      <c r="Z7" s="46"/>
      <c r="AA7" s="46"/>
      <c r="AB7" s="46"/>
      <c r="AC7" s="25" t="s">
        <v>32</v>
      </c>
      <c r="AD7" s="110" t="s">
        <v>30</v>
      </c>
      <c r="AE7" s="110"/>
      <c r="AF7" s="110"/>
      <c r="AG7" s="110"/>
      <c r="AH7" s="110"/>
      <c r="AI7" s="110"/>
      <c r="AJ7" s="111"/>
      <c r="AK7" s="20"/>
      <c r="AL7" s="16"/>
    </row>
    <row r="8" spans="1:43" ht="15.5" x14ac:dyDescent="0.35">
      <c r="A8" s="1"/>
      <c r="B8" s="15"/>
      <c r="C8" s="70"/>
      <c r="D8" s="71"/>
      <c r="E8" s="71"/>
      <c r="F8" s="69"/>
      <c r="G8" s="69"/>
      <c r="H8" s="69"/>
      <c r="I8" s="69"/>
      <c r="J8" s="65"/>
      <c r="K8" s="65"/>
      <c r="L8" s="65"/>
      <c r="M8" s="65"/>
      <c r="N8" s="66"/>
      <c r="O8" s="66"/>
      <c r="P8" s="66"/>
      <c r="Q8" s="66"/>
      <c r="R8" s="66"/>
      <c r="S8" s="32"/>
      <c r="T8" s="47"/>
      <c r="U8" s="67"/>
      <c r="V8" s="67"/>
      <c r="W8" s="3"/>
      <c r="X8" s="48"/>
      <c r="Y8" s="48"/>
      <c r="Z8" s="48"/>
      <c r="AA8" s="48"/>
      <c r="AB8" s="48"/>
      <c r="AC8" s="68"/>
      <c r="AD8" s="68"/>
      <c r="AE8" s="68"/>
      <c r="AF8" s="45"/>
      <c r="AG8" s="45"/>
      <c r="AH8" s="45"/>
      <c r="AI8" s="45"/>
      <c r="AJ8" s="45"/>
      <c r="AK8" s="19"/>
      <c r="AL8" s="16"/>
    </row>
    <row r="9" spans="1:43" ht="15.5" x14ac:dyDescent="0.35">
      <c r="A9" s="1"/>
      <c r="B9" s="15"/>
      <c r="C9" s="70"/>
      <c r="D9" s="71"/>
      <c r="E9" s="71"/>
      <c r="F9" s="69"/>
      <c r="G9" s="69"/>
      <c r="H9" s="69"/>
      <c r="I9" s="69"/>
      <c r="J9" s="71"/>
      <c r="K9" s="71"/>
      <c r="L9" s="71"/>
      <c r="M9" s="71"/>
      <c r="N9" s="69"/>
      <c r="O9" s="69"/>
      <c r="P9" s="69"/>
      <c r="Q9" s="69"/>
      <c r="R9" s="69"/>
      <c r="S9" s="71"/>
      <c r="T9" s="71"/>
      <c r="U9" s="71"/>
      <c r="V9" s="71"/>
      <c r="W9" s="71"/>
      <c r="X9" s="71"/>
      <c r="Y9" s="48"/>
      <c r="Z9" s="48"/>
      <c r="AA9" s="48"/>
      <c r="AB9" s="48"/>
      <c r="AC9" s="68"/>
      <c r="AD9" s="68"/>
      <c r="AE9" s="68"/>
      <c r="AF9" s="66"/>
      <c r="AG9" s="66"/>
      <c r="AH9" s="66"/>
      <c r="AI9" s="66"/>
      <c r="AJ9" s="66"/>
      <c r="AK9" s="95"/>
      <c r="AL9" s="16"/>
    </row>
    <row r="10" spans="1:43" ht="16" thickBot="1" x14ac:dyDescent="0.4">
      <c r="A10" s="1"/>
      <c r="B10" s="15"/>
      <c r="C10" s="80"/>
      <c r="D10" s="81"/>
      <c r="E10" s="81"/>
      <c r="F10" s="9"/>
      <c r="G10" s="9"/>
      <c r="H10" s="9"/>
      <c r="I10" s="9"/>
      <c r="J10" s="78"/>
      <c r="K10" s="78"/>
      <c r="L10" s="78"/>
      <c r="M10" s="78"/>
      <c r="N10" s="79"/>
      <c r="O10" s="79"/>
      <c r="P10" s="79"/>
      <c r="Q10" s="79"/>
      <c r="R10" s="79"/>
      <c r="S10" s="78"/>
      <c r="T10" s="78"/>
      <c r="U10" s="78"/>
      <c r="V10" s="78"/>
      <c r="W10" s="78"/>
      <c r="X10" s="78"/>
      <c r="Y10" s="18"/>
      <c r="Z10" s="18"/>
      <c r="AA10" s="18"/>
      <c r="AB10" s="18"/>
      <c r="AC10" s="18"/>
      <c r="AD10" s="10"/>
      <c r="AE10" s="10"/>
      <c r="AF10" s="9"/>
      <c r="AG10" s="9"/>
      <c r="AH10" s="9"/>
      <c r="AI10" s="9"/>
      <c r="AJ10" s="9"/>
      <c r="AK10" s="11"/>
      <c r="AL10" s="16"/>
    </row>
    <row r="11" spans="1:43" ht="16" thickBot="1" x14ac:dyDescent="0.4">
      <c r="A11" s="1"/>
      <c r="B11" s="15"/>
      <c r="C11" s="1"/>
      <c r="D11" s="1"/>
      <c r="E11" s="1"/>
      <c r="F11" s="1"/>
      <c r="G11" s="1"/>
      <c r="H11" s="1"/>
      <c r="I11" s="1"/>
      <c r="J11" s="71"/>
      <c r="K11" s="71"/>
      <c r="L11" s="71"/>
      <c r="M11" s="71"/>
      <c r="N11" s="69"/>
      <c r="O11" s="69"/>
      <c r="P11" s="69"/>
      <c r="Q11" s="69"/>
      <c r="R11" s="69"/>
      <c r="S11" s="71"/>
      <c r="T11" s="71"/>
      <c r="U11" s="71"/>
      <c r="V11" s="71"/>
      <c r="W11" s="71"/>
      <c r="X11" s="71"/>
      <c r="Y11" s="94"/>
      <c r="Z11" s="94"/>
      <c r="AA11" s="94"/>
      <c r="AB11" s="94"/>
      <c r="AC11" s="94"/>
      <c r="AF11" s="1"/>
      <c r="AG11" s="1"/>
      <c r="AH11" s="1"/>
      <c r="AI11" s="1"/>
      <c r="AJ11" s="1"/>
      <c r="AK11" s="1"/>
      <c r="AL11" s="16"/>
    </row>
    <row r="12" spans="1:43" ht="16" thickBot="1" x14ac:dyDescent="0.4">
      <c r="A12" s="1"/>
      <c r="B12" s="15"/>
      <c r="C12" s="72" t="s">
        <v>0</v>
      </c>
      <c r="D12" s="73"/>
      <c r="E12" s="74"/>
      <c r="F12" s="82" t="s">
        <v>33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4"/>
      <c r="S12" s="72" t="s">
        <v>1</v>
      </c>
      <c r="T12" s="73"/>
      <c r="U12" s="74"/>
      <c r="V12" s="75" t="s">
        <v>34</v>
      </c>
      <c r="W12" s="76"/>
      <c r="X12" s="76"/>
      <c r="Y12" s="76"/>
      <c r="Z12" s="76"/>
      <c r="AA12" s="76"/>
      <c r="AB12" s="76"/>
      <c r="AC12" s="77"/>
      <c r="AD12" s="85" t="s">
        <v>4</v>
      </c>
      <c r="AE12" s="86"/>
      <c r="AF12" s="26">
        <v>12</v>
      </c>
      <c r="AG12" s="87" t="s">
        <v>5</v>
      </c>
      <c r="AH12" s="88"/>
      <c r="AI12" s="75" t="s">
        <v>35</v>
      </c>
      <c r="AJ12" s="76"/>
      <c r="AK12" s="77"/>
      <c r="AL12" s="16"/>
    </row>
    <row r="13" spans="1:43" ht="16" thickBot="1" x14ac:dyDescent="0.4">
      <c r="A13" s="1"/>
      <c r="B13" s="15"/>
      <c r="C13" s="72" t="s">
        <v>2</v>
      </c>
      <c r="D13" s="73"/>
      <c r="E13" s="74"/>
      <c r="F13" s="75" t="s">
        <v>36</v>
      </c>
      <c r="G13" s="76"/>
      <c r="H13" s="76"/>
      <c r="I13" s="77"/>
      <c r="J13" s="87" t="s">
        <v>6</v>
      </c>
      <c r="K13" s="96"/>
      <c r="L13" s="96"/>
      <c r="M13" s="88"/>
      <c r="N13" s="82" t="s">
        <v>37</v>
      </c>
      <c r="O13" s="83"/>
      <c r="P13" s="83"/>
      <c r="Q13" s="83"/>
      <c r="R13" s="84"/>
      <c r="S13" s="2" t="s">
        <v>7</v>
      </c>
      <c r="T13" s="27" t="s">
        <v>8</v>
      </c>
      <c r="U13" s="89" t="s">
        <v>9</v>
      </c>
      <c r="V13" s="90"/>
      <c r="W13" s="91" t="s">
        <v>39</v>
      </c>
      <c r="X13" s="92"/>
      <c r="Y13" s="92"/>
      <c r="Z13" s="92"/>
      <c r="AA13" s="92"/>
      <c r="AB13" s="92"/>
      <c r="AC13" s="85" t="s">
        <v>3</v>
      </c>
      <c r="AD13" s="93"/>
      <c r="AE13" s="86"/>
      <c r="AF13" s="82" t="s">
        <v>38</v>
      </c>
      <c r="AG13" s="83"/>
      <c r="AH13" s="83"/>
      <c r="AI13" s="83"/>
      <c r="AJ13" s="83"/>
      <c r="AK13" s="84"/>
      <c r="AL13" s="16"/>
    </row>
    <row r="14" spans="1:43" ht="16" thickBot="1" x14ac:dyDescent="0.4">
      <c r="A14" s="1"/>
      <c r="B14" s="15"/>
      <c r="C14" s="1"/>
      <c r="D14" s="1"/>
      <c r="E14" s="1"/>
      <c r="F14" s="1"/>
      <c r="G14" s="1"/>
      <c r="H14" s="1"/>
      <c r="I14" s="1"/>
      <c r="J14" s="100" t="s">
        <v>10</v>
      </c>
      <c r="K14" s="78"/>
      <c r="L14" s="78"/>
      <c r="M14" s="101"/>
      <c r="N14" s="102" t="s">
        <v>40</v>
      </c>
      <c r="O14" s="103"/>
      <c r="P14" s="103"/>
      <c r="Q14" s="103"/>
      <c r="R14" s="104"/>
      <c r="S14" s="100" t="s">
        <v>11</v>
      </c>
      <c r="T14" s="78"/>
      <c r="U14" s="78"/>
      <c r="V14" s="78"/>
      <c r="W14" s="78"/>
      <c r="X14" s="101"/>
      <c r="Y14" s="105">
        <v>254356745</v>
      </c>
      <c r="Z14" s="76"/>
      <c r="AA14" s="76"/>
      <c r="AB14" s="76"/>
      <c r="AC14" s="77"/>
      <c r="AF14" s="32"/>
      <c r="AG14" s="1"/>
      <c r="AH14" s="1"/>
      <c r="AI14" s="1"/>
      <c r="AJ14" s="1"/>
      <c r="AK14" s="1"/>
      <c r="AL14" s="16"/>
    </row>
    <row r="15" spans="1:43" ht="16" thickBot="1" x14ac:dyDescent="0.4">
      <c r="A15" s="1"/>
      <c r="B15" s="1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AF15" s="1"/>
      <c r="AG15" s="1"/>
      <c r="AH15" s="1"/>
      <c r="AI15" s="1"/>
      <c r="AJ15" s="1"/>
      <c r="AK15" s="1"/>
      <c r="AL15" s="16"/>
    </row>
    <row r="16" spans="1:43" ht="16" thickBot="1" x14ac:dyDescent="0.4">
      <c r="A16" s="1"/>
      <c r="B16" s="15"/>
      <c r="C16" s="72" t="s">
        <v>12</v>
      </c>
      <c r="D16" s="73"/>
      <c r="E16" s="74"/>
      <c r="F16" s="75" t="s">
        <v>52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7"/>
      <c r="S16" s="72" t="s">
        <v>1</v>
      </c>
      <c r="T16" s="73"/>
      <c r="U16" s="74"/>
      <c r="V16" s="75" t="s">
        <v>53</v>
      </c>
      <c r="W16" s="76"/>
      <c r="X16" s="76"/>
      <c r="Y16" s="76"/>
      <c r="Z16" s="76"/>
      <c r="AA16" s="76"/>
      <c r="AB16" s="76"/>
      <c r="AC16" s="77"/>
      <c r="AD16" s="85" t="s">
        <v>4</v>
      </c>
      <c r="AE16" s="86"/>
      <c r="AF16" s="26" t="s">
        <v>54</v>
      </c>
      <c r="AG16" s="87" t="s">
        <v>5</v>
      </c>
      <c r="AH16" s="88"/>
      <c r="AI16" s="75" t="s">
        <v>55</v>
      </c>
      <c r="AJ16" s="76"/>
      <c r="AK16" s="77"/>
      <c r="AL16" s="16"/>
    </row>
    <row r="17" spans="1:38" ht="16" thickBot="1" x14ac:dyDescent="0.4">
      <c r="A17" s="1"/>
      <c r="B17" s="15"/>
      <c r="C17" s="72" t="s">
        <v>2</v>
      </c>
      <c r="D17" s="73"/>
      <c r="E17" s="73"/>
      <c r="F17" s="82" t="s">
        <v>59</v>
      </c>
      <c r="G17" s="83"/>
      <c r="H17" s="83"/>
      <c r="I17" s="83"/>
      <c r="J17" s="83"/>
      <c r="K17" s="84"/>
      <c r="L17" s="87" t="s">
        <v>6</v>
      </c>
      <c r="M17" s="88"/>
      <c r="N17" s="82" t="s">
        <v>56</v>
      </c>
      <c r="O17" s="83"/>
      <c r="P17" s="83"/>
      <c r="Q17" s="83"/>
      <c r="R17" s="84"/>
      <c r="S17" s="2" t="s">
        <v>7</v>
      </c>
      <c r="T17" s="26" t="s">
        <v>57</v>
      </c>
      <c r="U17" s="87" t="s">
        <v>13</v>
      </c>
      <c r="V17" s="88"/>
      <c r="W17" s="97" t="s">
        <v>58</v>
      </c>
      <c r="X17" s="98"/>
      <c r="Y17" s="98"/>
      <c r="Z17" s="98"/>
      <c r="AA17" s="98"/>
      <c r="AB17" s="98"/>
      <c r="AC17" s="98"/>
      <c r="AD17" s="98"/>
      <c r="AE17" s="99"/>
      <c r="AF17" s="87" t="s">
        <v>3</v>
      </c>
      <c r="AG17" s="88"/>
      <c r="AH17" s="82" t="s">
        <v>51</v>
      </c>
      <c r="AI17" s="83"/>
      <c r="AJ17" s="83"/>
      <c r="AK17" s="84"/>
      <c r="AL17" s="16"/>
    </row>
    <row r="18" spans="1:38" ht="16" thickBot="1" x14ac:dyDescent="0.4">
      <c r="A18" s="1"/>
      <c r="B18" s="15"/>
      <c r="C18" s="72" t="s">
        <v>10</v>
      </c>
      <c r="D18" s="73"/>
      <c r="E18" s="74"/>
      <c r="F18" s="75" t="s">
        <v>48</v>
      </c>
      <c r="G18" s="76"/>
      <c r="H18" s="76"/>
      <c r="I18" s="77"/>
      <c r="J18" s="72" t="s">
        <v>11</v>
      </c>
      <c r="K18" s="73"/>
      <c r="L18" s="73"/>
      <c r="M18" s="73"/>
      <c r="N18" s="73"/>
      <c r="O18" s="74"/>
      <c r="P18" s="105">
        <v>487021356116</v>
      </c>
      <c r="Q18" s="125"/>
      <c r="R18" s="125"/>
      <c r="S18" s="126"/>
      <c r="T18" s="72" t="s">
        <v>19</v>
      </c>
      <c r="U18" s="74"/>
      <c r="V18" s="75" t="s">
        <v>49</v>
      </c>
      <c r="W18" s="76"/>
      <c r="X18" s="76"/>
      <c r="Y18" s="76"/>
      <c r="Z18" s="76"/>
      <c r="AA18" s="76"/>
      <c r="AB18" s="77"/>
      <c r="AC18" s="89" t="s">
        <v>9</v>
      </c>
      <c r="AD18" s="90"/>
      <c r="AE18" s="91" t="s">
        <v>50</v>
      </c>
      <c r="AF18" s="127"/>
      <c r="AG18" s="127"/>
      <c r="AH18" s="127"/>
      <c r="AI18" s="127"/>
      <c r="AJ18" s="127"/>
      <c r="AK18" s="128"/>
      <c r="AL18" s="16"/>
    </row>
    <row r="19" spans="1:38" ht="16" thickBot="1" x14ac:dyDescent="0.4">
      <c r="A19" s="1"/>
      <c r="B19" s="15"/>
      <c r="C19" s="32"/>
      <c r="D19" s="32"/>
      <c r="E19" s="32"/>
      <c r="F19" s="54"/>
      <c r="G19" s="54"/>
      <c r="H19" s="54"/>
      <c r="I19" s="54"/>
      <c r="J19" s="32"/>
      <c r="K19" s="32"/>
      <c r="L19" s="32"/>
      <c r="M19" s="32"/>
      <c r="N19" s="32"/>
      <c r="O19" s="32"/>
      <c r="P19" s="57"/>
      <c r="Q19" s="57"/>
      <c r="R19" s="57"/>
      <c r="S19" s="57"/>
      <c r="T19" s="32"/>
      <c r="U19" s="32"/>
      <c r="V19" s="54"/>
      <c r="W19" s="54"/>
      <c r="X19" s="54"/>
      <c r="Y19" s="54"/>
      <c r="Z19" s="54"/>
      <c r="AA19" s="54"/>
      <c r="AB19" s="54"/>
      <c r="AC19" s="33"/>
      <c r="AD19" s="33"/>
      <c r="AE19" s="58"/>
      <c r="AF19" s="33"/>
      <c r="AG19" s="33"/>
      <c r="AH19" s="33"/>
      <c r="AI19" s="33"/>
      <c r="AJ19" s="33"/>
      <c r="AK19" s="33"/>
      <c r="AL19" s="16"/>
    </row>
    <row r="20" spans="1:38" ht="16" thickBot="1" x14ac:dyDescent="0.4">
      <c r="A20" s="1"/>
      <c r="B20" s="15"/>
      <c r="C20" s="87" t="s">
        <v>20</v>
      </c>
      <c r="D20" s="96"/>
      <c r="E20" s="96"/>
      <c r="F20" s="88"/>
      <c r="G20" s="83" t="s">
        <v>63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122"/>
      <c r="T20" s="117" t="s">
        <v>3</v>
      </c>
      <c r="U20" s="118"/>
      <c r="V20" s="119" t="s">
        <v>64</v>
      </c>
      <c r="W20" s="120"/>
      <c r="X20" s="121"/>
      <c r="Y20" s="117" t="s">
        <v>19</v>
      </c>
      <c r="Z20" s="118"/>
      <c r="AA20" s="56"/>
      <c r="AB20" s="61"/>
      <c r="AC20" s="63"/>
      <c r="AD20" s="50"/>
      <c r="AE20" s="53"/>
      <c r="AF20" s="50"/>
      <c r="AG20" s="89" t="s">
        <v>5</v>
      </c>
      <c r="AH20" s="90"/>
      <c r="AI20" s="113" t="s">
        <v>66</v>
      </c>
      <c r="AJ20" s="116"/>
      <c r="AK20" s="115"/>
      <c r="AL20" s="16"/>
    </row>
    <row r="21" spans="1:38" ht="16" thickBot="1" x14ac:dyDescent="0.4">
      <c r="A21" s="1"/>
      <c r="B21" s="15"/>
      <c r="C21" s="72" t="s">
        <v>67</v>
      </c>
      <c r="D21" s="73"/>
      <c r="E21" s="73"/>
      <c r="F21" s="73"/>
      <c r="G21" s="74"/>
      <c r="H21" s="75" t="s">
        <v>65</v>
      </c>
      <c r="I21" s="76"/>
      <c r="J21" s="76"/>
      <c r="K21" s="76"/>
      <c r="L21" s="76"/>
      <c r="M21" s="76"/>
      <c r="N21" s="76"/>
      <c r="O21" s="77"/>
      <c r="P21" s="72" t="s">
        <v>4</v>
      </c>
      <c r="Q21" s="73"/>
      <c r="R21" s="74"/>
      <c r="S21" s="51">
        <v>59</v>
      </c>
      <c r="T21" s="72" t="s">
        <v>2</v>
      </c>
      <c r="U21" s="74"/>
      <c r="V21" s="75" t="s">
        <v>60</v>
      </c>
      <c r="W21" s="76"/>
      <c r="X21" s="76"/>
      <c r="Y21" s="76"/>
      <c r="Z21" s="76"/>
      <c r="AA21" s="77"/>
      <c r="AB21" s="72" t="s">
        <v>6</v>
      </c>
      <c r="AC21" s="74"/>
      <c r="AD21" s="113" t="s">
        <v>61</v>
      </c>
      <c r="AE21" s="114"/>
      <c r="AF21" s="114"/>
      <c r="AG21" s="114"/>
      <c r="AH21" s="114"/>
      <c r="AI21" s="115"/>
      <c r="AJ21" s="62" t="s">
        <v>7</v>
      </c>
      <c r="AK21" s="60" t="s">
        <v>57</v>
      </c>
      <c r="AL21" s="16"/>
    </row>
    <row r="22" spans="1:38" ht="16" thickBot="1" x14ac:dyDescent="0.4">
      <c r="A22" s="1"/>
      <c r="B22" s="15"/>
      <c r="C22" s="1"/>
      <c r="D22" s="1"/>
      <c r="E22" s="1"/>
      <c r="F22" s="1"/>
      <c r="G22" s="1"/>
      <c r="H22" s="1"/>
      <c r="I22" s="1"/>
      <c r="J22" s="100" t="s">
        <v>10</v>
      </c>
      <c r="K22" s="78"/>
      <c r="L22" s="78"/>
      <c r="M22" s="101"/>
      <c r="N22" s="75" t="s">
        <v>62</v>
      </c>
      <c r="O22" s="76"/>
      <c r="P22" s="76"/>
      <c r="Q22" s="76"/>
      <c r="R22" s="77"/>
      <c r="S22" s="72" t="s">
        <v>11</v>
      </c>
      <c r="T22" s="73"/>
      <c r="U22" s="73"/>
      <c r="V22" s="73"/>
      <c r="W22" s="73"/>
      <c r="X22" s="74"/>
      <c r="Y22" s="129">
        <v>208079985115</v>
      </c>
      <c r="Z22" s="130"/>
      <c r="AA22" s="130"/>
      <c r="AB22" s="130"/>
      <c r="AC22" s="131"/>
      <c r="AF22" s="1"/>
      <c r="AG22" s="1"/>
      <c r="AH22" s="1"/>
      <c r="AI22" s="1"/>
      <c r="AJ22" s="1"/>
      <c r="AK22" s="1"/>
      <c r="AL22" s="16"/>
    </row>
    <row r="23" spans="1:38" ht="16" thickBot="1" x14ac:dyDescent="0.4">
      <c r="A23" s="1"/>
      <c r="B23" s="15"/>
      <c r="C23" s="1"/>
      <c r="D23" s="1"/>
      <c r="E23" s="1"/>
      <c r="F23" s="1"/>
      <c r="G23" s="1"/>
      <c r="H23" s="1"/>
      <c r="I23" s="1"/>
      <c r="J23" s="52"/>
      <c r="K23" s="52"/>
      <c r="L23" s="52"/>
      <c r="M23" s="52"/>
      <c r="N23" s="59"/>
      <c r="O23" s="59"/>
      <c r="P23" s="59"/>
      <c r="Q23" s="59"/>
      <c r="R23" s="59"/>
      <c r="S23" s="55"/>
      <c r="T23" s="55"/>
      <c r="U23" s="55"/>
      <c r="V23" s="55"/>
      <c r="W23" s="55"/>
      <c r="X23" s="55"/>
      <c r="Y23" s="64"/>
      <c r="Z23" s="64"/>
      <c r="AA23" s="64"/>
      <c r="AB23" s="64"/>
      <c r="AC23" s="64"/>
      <c r="AF23" s="1"/>
      <c r="AG23" s="1"/>
      <c r="AH23" s="1"/>
      <c r="AI23" s="1"/>
      <c r="AJ23" s="1"/>
      <c r="AK23" s="1"/>
      <c r="AL23" s="16"/>
    </row>
    <row r="24" spans="1:38" ht="16" thickBot="1" x14ac:dyDescent="0.4">
      <c r="A24" s="1"/>
      <c r="B24" s="15"/>
      <c r="C24" s="87" t="s">
        <v>18</v>
      </c>
      <c r="D24" s="96"/>
      <c r="E24" s="96"/>
      <c r="F24" s="96"/>
      <c r="G24" s="88"/>
      <c r="H24" s="75" t="s">
        <v>53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7"/>
      <c r="V24" s="72" t="s">
        <v>6</v>
      </c>
      <c r="W24" s="73"/>
      <c r="X24" s="73"/>
      <c r="Y24" s="74"/>
      <c r="Z24" s="113" t="s">
        <v>56</v>
      </c>
      <c r="AA24" s="114"/>
      <c r="AB24" s="114"/>
      <c r="AC24" s="114"/>
      <c r="AD24" s="114"/>
      <c r="AE24" s="114"/>
      <c r="AF24" s="114"/>
      <c r="AG24" s="114"/>
      <c r="AH24" s="114"/>
      <c r="AI24" s="115"/>
      <c r="AJ24" s="2" t="s">
        <v>7</v>
      </c>
      <c r="AK24" s="27" t="s">
        <v>57</v>
      </c>
      <c r="AL24" s="16"/>
    </row>
    <row r="25" spans="1:38" ht="16" thickBot="1" x14ac:dyDescent="0.4">
      <c r="A25" s="1"/>
      <c r="B25" s="15"/>
      <c r="C25" s="31"/>
      <c r="D25" s="31"/>
      <c r="E25" s="31"/>
      <c r="F25" s="31"/>
      <c r="G25" s="3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2"/>
      <c r="AK25" s="32"/>
      <c r="AL25" s="16"/>
    </row>
    <row r="26" spans="1:38" ht="16" thickBot="1" x14ac:dyDescent="0.4">
      <c r="A26" s="1"/>
      <c r="B26" s="15"/>
      <c r="C26" s="87" t="s">
        <v>21</v>
      </c>
      <c r="D26" s="96"/>
      <c r="E26" s="96"/>
      <c r="F26" s="88"/>
      <c r="G26" s="87" t="s">
        <v>22</v>
      </c>
      <c r="H26" s="88"/>
      <c r="I26" s="82" t="s">
        <v>68</v>
      </c>
      <c r="J26" s="84"/>
      <c r="K26" s="96" t="s">
        <v>23</v>
      </c>
      <c r="L26" s="96"/>
      <c r="M26" s="123"/>
      <c r="N26" s="124"/>
      <c r="O26" s="87" t="s">
        <v>24</v>
      </c>
      <c r="P26" s="96"/>
      <c r="Q26" s="96"/>
      <c r="R26" s="96"/>
      <c r="S26" s="96"/>
      <c r="T26" s="96"/>
      <c r="U26" s="96"/>
      <c r="V26" s="96"/>
      <c r="W26" s="96"/>
      <c r="X26" s="88"/>
      <c r="Y26" s="82" t="s">
        <v>69</v>
      </c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4"/>
      <c r="AL26" s="16"/>
    </row>
    <row r="27" spans="1:38" ht="16" thickBot="1" x14ac:dyDescent="0.4">
      <c r="A27" s="1"/>
      <c r="B27" s="1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16"/>
    </row>
    <row r="28" spans="1:38" ht="19" thickBot="1" x14ac:dyDescent="0.5">
      <c r="A28" s="1"/>
      <c r="B28" s="15"/>
      <c r="C28" s="148" t="s">
        <v>15</v>
      </c>
      <c r="D28" s="149"/>
      <c r="E28" s="150"/>
      <c r="F28" s="151">
        <v>78</v>
      </c>
      <c r="G28" s="152"/>
      <c r="H28" s="153"/>
      <c r="I28" s="148" t="s">
        <v>16</v>
      </c>
      <c r="J28" s="149"/>
      <c r="K28" s="149"/>
      <c r="L28" s="149"/>
      <c r="M28" s="150"/>
      <c r="N28" s="154">
        <v>45870</v>
      </c>
      <c r="O28" s="152"/>
      <c r="P28" s="152"/>
      <c r="Q28" s="153"/>
      <c r="R28" s="148" t="s">
        <v>17</v>
      </c>
      <c r="S28" s="149"/>
      <c r="T28" s="149"/>
      <c r="U28" s="149"/>
      <c r="V28" s="149"/>
      <c r="W28" s="149"/>
      <c r="X28" s="150"/>
      <c r="Y28" s="151">
        <v>145352</v>
      </c>
      <c r="Z28" s="152"/>
      <c r="AA28" s="153"/>
      <c r="AB28" s="155" t="s">
        <v>14</v>
      </c>
      <c r="AC28" s="156"/>
      <c r="AD28" s="156"/>
      <c r="AE28" s="156"/>
      <c r="AF28" s="156"/>
      <c r="AG28" s="157"/>
      <c r="AH28" s="154">
        <v>45915</v>
      </c>
      <c r="AI28" s="152"/>
      <c r="AJ28" s="152"/>
      <c r="AK28" s="153"/>
      <c r="AL28" s="16"/>
    </row>
    <row r="29" spans="1:38" ht="16" thickBot="1" x14ac:dyDescent="0.4">
      <c r="A29" s="1"/>
      <c r="B29" s="15"/>
      <c r="C29" s="31"/>
      <c r="D29" s="31"/>
      <c r="E29" s="31"/>
      <c r="F29" s="31"/>
      <c r="G29" s="31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2"/>
      <c r="AK29" s="32"/>
      <c r="AL29" s="16"/>
    </row>
    <row r="30" spans="1:38" ht="16" thickBot="1" x14ac:dyDescent="0.4">
      <c r="A30" s="1"/>
      <c r="B30" s="15"/>
      <c r="C30" s="72" t="s">
        <v>25</v>
      </c>
      <c r="D30" s="73"/>
      <c r="E30" s="74"/>
      <c r="F30" s="30" t="s">
        <v>45</v>
      </c>
      <c r="G30" s="87" t="s">
        <v>26</v>
      </c>
      <c r="H30" s="96"/>
      <c r="I30" s="96"/>
      <c r="J30" s="96"/>
      <c r="K30" s="96"/>
      <c r="L30" s="96"/>
      <c r="M30" s="96"/>
      <c r="N30" s="96"/>
      <c r="O30" s="96"/>
      <c r="P30" s="88"/>
      <c r="Q30" s="96" t="s">
        <v>46</v>
      </c>
      <c r="R30" s="96"/>
      <c r="S30" s="96"/>
      <c r="T30" s="88"/>
      <c r="U30" s="87" t="s">
        <v>41</v>
      </c>
      <c r="V30" s="96"/>
      <c r="W30" s="88"/>
      <c r="X30" s="87" t="s">
        <v>42</v>
      </c>
      <c r="Y30" s="96"/>
      <c r="Z30" s="88"/>
      <c r="AA30" s="87" t="s">
        <v>47</v>
      </c>
      <c r="AB30" s="96"/>
      <c r="AC30" s="88"/>
      <c r="AD30" s="72" t="s">
        <v>43</v>
      </c>
      <c r="AE30" s="73"/>
      <c r="AF30" s="74"/>
      <c r="AG30" s="87" t="s">
        <v>27</v>
      </c>
      <c r="AH30" s="88"/>
      <c r="AI30" s="87" t="s">
        <v>44</v>
      </c>
      <c r="AJ30" s="96"/>
      <c r="AK30" s="88"/>
      <c r="AL30" s="16"/>
    </row>
    <row r="31" spans="1:38" ht="15.5" x14ac:dyDescent="0.35">
      <c r="A31" s="1"/>
      <c r="B31" s="15"/>
      <c r="C31" s="28"/>
      <c r="D31" s="29"/>
      <c r="E31" s="36"/>
      <c r="F31" s="37"/>
      <c r="G31" s="28"/>
      <c r="H31" s="39"/>
      <c r="I31" s="39"/>
      <c r="J31" s="39"/>
      <c r="K31" s="39"/>
      <c r="L31" s="39"/>
      <c r="M31" s="39"/>
      <c r="N31" s="39"/>
      <c r="O31" s="39"/>
      <c r="P31" s="40"/>
      <c r="Q31" s="41"/>
      <c r="R31" s="39"/>
      <c r="S31" s="39"/>
      <c r="T31" s="40"/>
      <c r="U31" s="41"/>
      <c r="V31" s="39"/>
      <c r="W31" s="40"/>
      <c r="X31" s="41"/>
      <c r="Y31" s="39"/>
      <c r="Z31" s="42"/>
      <c r="AA31" s="43"/>
      <c r="AB31" s="44"/>
      <c r="AC31" s="42"/>
      <c r="AD31" s="43"/>
      <c r="AE31" s="44"/>
      <c r="AF31" s="42"/>
      <c r="AG31" s="43"/>
      <c r="AH31" s="42"/>
      <c r="AI31" s="43"/>
      <c r="AJ31" s="39"/>
      <c r="AK31" s="40"/>
      <c r="AL31" s="16"/>
    </row>
    <row r="32" spans="1:38" ht="18.5" x14ac:dyDescent="0.35">
      <c r="A32" s="1"/>
      <c r="B32" s="15"/>
      <c r="C32" s="132">
        <v>2000</v>
      </c>
      <c r="D32" s="133"/>
      <c r="E32" s="134"/>
      <c r="F32" s="135" t="s">
        <v>76</v>
      </c>
      <c r="G32" s="136" t="s">
        <v>77</v>
      </c>
      <c r="H32" s="137"/>
      <c r="I32" s="137"/>
      <c r="J32" s="137"/>
      <c r="K32" s="137"/>
      <c r="L32" s="137"/>
      <c r="M32" s="137"/>
      <c r="N32" s="137"/>
      <c r="O32" s="137"/>
      <c r="P32" s="138"/>
      <c r="Q32" s="139"/>
      <c r="R32" s="140"/>
      <c r="S32" s="140"/>
      <c r="T32" s="141"/>
      <c r="U32" s="142">
        <v>70</v>
      </c>
      <c r="V32" s="143"/>
      <c r="W32" s="144"/>
      <c r="X32" s="142">
        <v>40</v>
      </c>
      <c r="Y32" s="143"/>
      <c r="Z32" s="144"/>
      <c r="AA32" s="145">
        <v>18.350000000000001</v>
      </c>
      <c r="AB32" s="146"/>
      <c r="AC32" s="147"/>
      <c r="AD32" s="145">
        <f>(AA32*C32)</f>
        <v>36700</v>
      </c>
      <c r="AE32" s="146"/>
      <c r="AF32" s="147"/>
      <c r="AG32" s="136">
        <v>9.75</v>
      </c>
      <c r="AH32" s="138"/>
      <c r="AI32" s="145">
        <f>(AD32*1.0975)</f>
        <v>40278.25</v>
      </c>
      <c r="AJ32" s="146"/>
      <c r="AK32" s="147"/>
      <c r="AL32" s="16"/>
    </row>
    <row r="33" spans="1:38" ht="16" thickBot="1" x14ac:dyDescent="0.4">
      <c r="A33" s="1"/>
      <c r="B33" s="15"/>
      <c r="C33" s="8"/>
      <c r="D33" s="9"/>
      <c r="E33" s="11"/>
      <c r="F33" s="38"/>
      <c r="G33" s="8"/>
      <c r="H33" s="9"/>
      <c r="I33" s="9"/>
      <c r="J33" s="9"/>
      <c r="K33" s="9"/>
      <c r="L33" s="9"/>
      <c r="M33" s="9"/>
      <c r="N33" s="9"/>
      <c r="O33" s="9"/>
      <c r="P33" s="11"/>
      <c r="Q33" s="8"/>
      <c r="R33" s="9"/>
      <c r="S33" s="9"/>
      <c r="T33" s="11"/>
      <c r="U33" s="8"/>
      <c r="V33" s="9"/>
      <c r="W33" s="11"/>
      <c r="X33" s="13"/>
      <c r="Y33" s="10"/>
      <c r="Z33" s="14"/>
      <c r="AA33" s="13"/>
      <c r="AB33" s="10"/>
      <c r="AC33" s="14"/>
      <c r="AD33" s="13"/>
      <c r="AE33" s="10"/>
      <c r="AF33" s="11"/>
      <c r="AG33" s="8"/>
      <c r="AH33" s="11"/>
      <c r="AI33" s="8"/>
      <c r="AJ33" s="9"/>
      <c r="AK33" s="11"/>
      <c r="AL33" s="16"/>
    </row>
    <row r="34" spans="1:38" ht="16" thickBot="1" x14ac:dyDescent="0.4">
      <c r="A34" s="1"/>
      <c r="B34" s="15"/>
      <c r="C34" s="71"/>
      <c r="D34" s="71"/>
      <c r="E34" s="71"/>
      <c r="F34" s="31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34"/>
      <c r="AB34" s="35"/>
      <c r="AC34" s="35"/>
      <c r="AD34" s="71"/>
      <c r="AE34" s="71"/>
      <c r="AF34" s="71"/>
      <c r="AG34" s="65"/>
      <c r="AH34" s="65"/>
      <c r="AI34" s="65"/>
      <c r="AJ34" s="65"/>
      <c r="AK34" s="65"/>
      <c r="AL34" s="16"/>
    </row>
    <row r="35" spans="1:38" ht="15.5" x14ac:dyDescent="0.35">
      <c r="A35" s="1"/>
      <c r="B35" s="15"/>
      <c r="C35" s="6" t="s">
        <v>28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/>
      <c r="Y35" s="7"/>
      <c r="Z35" s="7"/>
      <c r="AA35" s="7"/>
      <c r="AB35" s="7"/>
      <c r="AC35" s="7"/>
      <c r="AD35" s="7"/>
      <c r="AE35" s="7"/>
      <c r="AF35" s="5"/>
      <c r="AG35" s="5"/>
      <c r="AH35" s="5"/>
      <c r="AI35" s="5"/>
      <c r="AJ35" s="5"/>
      <c r="AK35" s="4"/>
      <c r="AL35" s="16"/>
    </row>
    <row r="36" spans="1:38" ht="15.5" x14ac:dyDescent="0.35">
      <c r="A36" s="1"/>
      <c r="B36" s="15"/>
      <c r="C36" s="15" t="s">
        <v>70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AF36" s="1"/>
      <c r="AG36" s="1"/>
      <c r="AH36" s="1"/>
      <c r="AI36" s="1"/>
      <c r="AJ36" s="1"/>
      <c r="AK36" s="16"/>
      <c r="AL36" s="16"/>
    </row>
    <row r="37" spans="1:38" ht="15.5" x14ac:dyDescent="0.35">
      <c r="A37" s="1"/>
      <c r="B37" s="15"/>
      <c r="C37" s="15" t="s">
        <v>71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AF37" s="1"/>
      <c r="AG37" s="1"/>
      <c r="AH37" s="1"/>
      <c r="AI37" s="1"/>
      <c r="AJ37" s="1"/>
      <c r="AK37" s="16"/>
      <c r="AL37" s="16"/>
    </row>
    <row r="38" spans="1:38" ht="15.5" x14ac:dyDescent="0.35">
      <c r="A38" s="1"/>
      <c r="B38" s="15"/>
      <c r="C38" s="15" t="s">
        <v>72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AK38" s="17"/>
      <c r="AL38" s="16"/>
    </row>
    <row r="39" spans="1:38" ht="15.5" x14ac:dyDescent="0.35">
      <c r="A39" s="1"/>
      <c r="B39" s="15"/>
      <c r="C39" s="15" t="s">
        <v>73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AE39" s="49"/>
      <c r="AK39" s="17"/>
      <c r="AL39" s="16"/>
    </row>
    <row r="40" spans="1:38" ht="15.5" x14ac:dyDescent="0.35">
      <c r="A40" s="1"/>
      <c r="B40" s="15"/>
      <c r="C40" s="15" t="s">
        <v>74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AK40" s="17"/>
      <c r="AL40" s="16"/>
    </row>
    <row r="41" spans="1:38" ht="15.5" customHeight="1" thickBot="1" x14ac:dyDescent="0.4">
      <c r="A41" s="1"/>
      <c r="B41" s="15"/>
      <c r="C41" s="8" t="s">
        <v>75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4"/>
      <c r="AL41" s="16"/>
    </row>
    <row r="42" spans="1:38" ht="6" customHeight="1" thickBot="1" x14ac:dyDescent="0.4">
      <c r="A42" s="1"/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1"/>
    </row>
    <row r="43" spans="1:38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38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38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38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38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38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5" x14ac:dyDescent="0.35">
      <c r="A242" s="1"/>
      <c r="B242" s="1"/>
    </row>
    <row r="243" spans="1:23" ht="15.5" x14ac:dyDescent="0.35">
      <c r="A243" s="1"/>
      <c r="B243" s="1"/>
    </row>
    <row r="244" spans="1:23" ht="15.5" x14ac:dyDescent="0.35">
      <c r="A244" s="1"/>
      <c r="B244" s="1"/>
    </row>
    <row r="245" spans="1:23" ht="15.5" x14ac:dyDescent="0.35">
      <c r="A245" s="1"/>
      <c r="B245" s="1"/>
    </row>
    <row r="246" spans="1:23" ht="15.5" x14ac:dyDescent="0.35">
      <c r="A246" s="1"/>
      <c r="B246" s="1"/>
    </row>
    <row r="247" spans="1:23" ht="15.5" x14ac:dyDescent="0.35">
      <c r="A247" s="1"/>
      <c r="B247" s="1"/>
    </row>
    <row r="248" spans="1:23" ht="15.5" x14ac:dyDescent="0.35">
      <c r="A248" s="1"/>
      <c r="B248" s="1"/>
    </row>
    <row r="249" spans="1:23" ht="15.5" x14ac:dyDescent="0.35">
      <c r="A249" s="1"/>
      <c r="B249" s="1"/>
    </row>
  </sheetData>
  <mergeCells count="132">
    <mergeCell ref="AG32:AH32"/>
    <mergeCell ref="AI32:AK32"/>
    <mergeCell ref="N22:R22"/>
    <mergeCell ref="S22:X22"/>
    <mergeCell ref="Y22:AC22"/>
    <mergeCell ref="C28:E28"/>
    <mergeCell ref="F28:H28"/>
    <mergeCell ref="I28:M28"/>
    <mergeCell ref="N28:Q28"/>
    <mergeCell ref="R28:X28"/>
    <mergeCell ref="Y28:AA28"/>
    <mergeCell ref="AB28:AG28"/>
    <mergeCell ref="AH28:AK28"/>
    <mergeCell ref="P18:S18"/>
    <mergeCell ref="C18:E18"/>
    <mergeCell ref="F18:I18"/>
    <mergeCell ref="J18:O18"/>
    <mergeCell ref="T18:U18"/>
    <mergeCell ref="AC18:AD18"/>
    <mergeCell ref="V18:AB18"/>
    <mergeCell ref="AE18:AK18"/>
    <mergeCell ref="C26:F26"/>
    <mergeCell ref="G26:H26"/>
    <mergeCell ref="I26:J26"/>
    <mergeCell ref="K26:L26"/>
    <mergeCell ref="M26:N26"/>
    <mergeCell ref="O26:X26"/>
    <mergeCell ref="Y26:AK26"/>
    <mergeCell ref="V21:AA21"/>
    <mergeCell ref="AD21:AI21"/>
    <mergeCell ref="AB21:AC21"/>
    <mergeCell ref="T21:U21"/>
    <mergeCell ref="P21:R21"/>
    <mergeCell ref="H21:O21"/>
    <mergeCell ref="C21:G21"/>
    <mergeCell ref="J22:M22"/>
    <mergeCell ref="AC6:AJ6"/>
    <mergeCell ref="AC5:AJ5"/>
    <mergeCell ref="AD7:AJ7"/>
    <mergeCell ref="AN5:AQ5"/>
    <mergeCell ref="C24:G24"/>
    <mergeCell ref="H24:U24"/>
    <mergeCell ref="V24:Y24"/>
    <mergeCell ref="Z24:AI24"/>
    <mergeCell ref="AI16:AK16"/>
    <mergeCell ref="C16:E16"/>
    <mergeCell ref="F16:R16"/>
    <mergeCell ref="S16:U16"/>
    <mergeCell ref="V16:AC16"/>
    <mergeCell ref="AF17:AG17"/>
    <mergeCell ref="AH17:AK17"/>
    <mergeCell ref="C20:F20"/>
    <mergeCell ref="AI20:AK20"/>
    <mergeCell ref="AG20:AH20"/>
    <mergeCell ref="Y20:Z20"/>
    <mergeCell ref="V20:X20"/>
    <mergeCell ref="T20:U20"/>
    <mergeCell ref="G20:S20"/>
    <mergeCell ref="C13:E13"/>
    <mergeCell ref="F13:I13"/>
    <mergeCell ref="Q34:T34"/>
    <mergeCell ref="U34:W34"/>
    <mergeCell ref="X34:Z34"/>
    <mergeCell ref="C34:E34"/>
    <mergeCell ref="AD34:AF34"/>
    <mergeCell ref="AG34:AH34"/>
    <mergeCell ref="AI34:AK34"/>
    <mergeCell ref="G34:P34"/>
    <mergeCell ref="C30:E30"/>
    <mergeCell ref="G30:P30"/>
    <mergeCell ref="Q30:T30"/>
    <mergeCell ref="U30:W30"/>
    <mergeCell ref="X30:Z30"/>
    <mergeCell ref="AD30:AF30"/>
    <mergeCell ref="AG30:AH30"/>
    <mergeCell ref="AI30:AK30"/>
    <mergeCell ref="AA30:AC30"/>
    <mergeCell ref="C32:E32"/>
    <mergeCell ref="G32:P32"/>
    <mergeCell ref="Q32:T32"/>
    <mergeCell ref="U32:W32"/>
    <mergeCell ref="X32:Z32"/>
    <mergeCell ref="AA32:AC32"/>
    <mergeCell ref="AD32:AF32"/>
    <mergeCell ref="J13:M13"/>
    <mergeCell ref="N13:R13"/>
    <mergeCell ref="AD16:AE16"/>
    <mergeCell ref="AG16:AH16"/>
    <mergeCell ref="C17:E17"/>
    <mergeCell ref="F17:K17"/>
    <mergeCell ref="L17:M17"/>
    <mergeCell ref="N17:R17"/>
    <mergeCell ref="U17:V17"/>
    <mergeCell ref="W17:AE17"/>
    <mergeCell ref="J14:M14"/>
    <mergeCell ref="N14:R14"/>
    <mergeCell ref="S14:X14"/>
    <mergeCell ref="Y14:AC14"/>
    <mergeCell ref="AD12:AE12"/>
    <mergeCell ref="AG12:AH12"/>
    <mergeCell ref="AI12:AK12"/>
    <mergeCell ref="U13:V13"/>
    <mergeCell ref="W13:AB13"/>
    <mergeCell ref="AC13:AE13"/>
    <mergeCell ref="AF13:AK13"/>
    <mergeCell ref="Y11:AC11"/>
    <mergeCell ref="S9:X9"/>
    <mergeCell ref="AC9:AE9"/>
    <mergeCell ref="AF9:AK9"/>
    <mergeCell ref="C12:E12"/>
    <mergeCell ref="S12:U12"/>
    <mergeCell ref="V12:AC12"/>
    <mergeCell ref="J10:M10"/>
    <mergeCell ref="N10:R10"/>
    <mergeCell ref="S10:X10"/>
    <mergeCell ref="J11:M11"/>
    <mergeCell ref="N11:R11"/>
    <mergeCell ref="S11:X11"/>
    <mergeCell ref="C10:E10"/>
    <mergeCell ref="F12:R12"/>
    <mergeCell ref="J8:M8"/>
    <mergeCell ref="N8:R8"/>
    <mergeCell ref="U8:V8"/>
    <mergeCell ref="AC8:AE8"/>
    <mergeCell ref="F8:I8"/>
    <mergeCell ref="C7:E7"/>
    <mergeCell ref="C8:E8"/>
    <mergeCell ref="C9:E9"/>
    <mergeCell ref="S7:U7"/>
    <mergeCell ref="F9:I9"/>
    <mergeCell ref="J9:M9"/>
    <mergeCell ref="N9:R9"/>
  </mergeCells>
  <hyperlinks>
    <hyperlink ref="W13" r:id="rId1" xr:uid="{E80E2489-1981-4C15-A6DA-01A54C454DE1}"/>
    <hyperlink ref="AE18" r:id="rId2" xr:uid="{24EFBC69-C0D3-443F-939E-3C235D2BA851}"/>
    <hyperlink ref="W17" r:id="rId3" xr:uid="{14D99512-1D62-4BA4-800E-FC9F5C6862B9}"/>
  </hyperlinks>
  <pageMargins left="0.39370078740157483" right="0.39370078740157483" top="0.39370078740157483" bottom="0.19685039370078741" header="0.31496062992125984" footer="0.31496062992125984"/>
  <pageSetup paperSize="9" scale="80" fitToWidth="0" orientation="landscape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Fernandes Lucchese</dc:creator>
  <cp:lastModifiedBy>Marcio Fernandes Lucchese</cp:lastModifiedBy>
  <cp:lastPrinted>2025-11-25T11:42:29Z</cp:lastPrinted>
  <dcterms:created xsi:type="dcterms:W3CDTF">2025-11-24T18:07:28Z</dcterms:created>
  <dcterms:modified xsi:type="dcterms:W3CDTF">2025-12-09T11:47:24Z</dcterms:modified>
</cp:coreProperties>
</file>