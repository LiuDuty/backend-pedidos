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Meu laptop\Nuvem\CLIENTES CCS\SUPERBOM\OC - PEDIDOS\"/>
    </mc:Choice>
  </mc:AlternateContent>
  <xr:revisionPtr revIDLastSave="0" documentId="13_ncr:1_{2FDEE05C-7C6D-41DF-A976-069E751C92C2}" xr6:coauthVersionLast="47" xr6:coauthVersionMax="47" xr10:uidLastSave="{00000000-0000-0000-0000-000000000000}"/>
  <bookViews>
    <workbookView xWindow="-110" yWindow="-110" windowWidth="19420" windowHeight="10300" xr2:uid="{7135C9FC-B1E9-4B2B-A6B9-91FE1D5519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4" i="1" l="1"/>
  <c r="AE34" i="1" s="1"/>
  <c r="AH34" i="1" s="1"/>
  <c r="Z33" i="1"/>
  <c r="AE33" i="1" s="1"/>
  <c r="AH33" i="1" s="1"/>
  <c r="Z32" i="1"/>
  <c r="AE32" i="1" s="1"/>
  <c r="AH32" i="1" s="1"/>
  <c r="Z31" i="1"/>
  <c r="AE31" i="1" s="1"/>
  <c r="AH31" i="1" s="1"/>
  <c r="AH36" i="1" l="1"/>
</calcChain>
</file>

<file path=xl/sharedStrings.xml><?xml version="1.0" encoding="utf-8"?>
<sst xmlns="http://schemas.openxmlformats.org/spreadsheetml/2006/main" count="95" uniqueCount="71">
  <si>
    <t>FORNECEDOR</t>
  </si>
  <si>
    <t>ENDEREÇO</t>
  </si>
  <si>
    <t>BAIRRO</t>
  </si>
  <si>
    <t>TELEFONE</t>
  </si>
  <si>
    <t>NUMERO</t>
  </si>
  <si>
    <t>CEP</t>
  </si>
  <si>
    <t>CIDADE</t>
  </si>
  <si>
    <t>UF</t>
  </si>
  <si>
    <t>SC</t>
  </si>
  <si>
    <t>E-MAIL</t>
  </si>
  <si>
    <t>CNPJ</t>
  </si>
  <si>
    <t>INSCRIÇÃO ESTADUAL</t>
  </si>
  <si>
    <t>CLIENTE</t>
  </si>
  <si>
    <t>DATA DE ENTREGA NO CLIENTE</t>
  </si>
  <si>
    <t>PEDIDO</t>
  </si>
  <si>
    <t>DATA DO PEDIDO</t>
  </si>
  <si>
    <t>ORDEM DE COMPRA DO CLIENTE</t>
  </si>
  <si>
    <t>ENDEREÇO DE ENTREGA</t>
  </si>
  <si>
    <t>ENDEREÇO DE COBRANÇA</t>
  </si>
  <si>
    <t>CONTATO</t>
  </si>
  <si>
    <t>TRANSPORTADORA</t>
  </si>
  <si>
    <t>FRETE</t>
  </si>
  <si>
    <t>CIF</t>
  </si>
  <si>
    <t>FOB</t>
  </si>
  <si>
    <t>CONDIÇÃO DE PAGAMENTO</t>
  </si>
  <si>
    <t>QUANTIDADE</t>
  </si>
  <si>
    <t>PRODUTO</t>
  </si>
  <si>
    <t>IPI (%)</t>
  </si>
  <si>
    <t>OBSERVAÇÕES</t>
  </si>
  <si>
    <t>Representante:</t>
  </si>
  <si>
    <t xml:space="preserve">11 94972-4778 </t>
  </si>
  <si>
    <t>MARCIO FERNANDES LUCCHESE</t>
  </si>
  <si>
    <t>CEL.</t>
  </si>
  <si>
    <t>SUB TOTAL (R$)</t>
  </si>
  <si>
    <t>UND</t>
  </si>
  <si>
    <t>PREÇO/UND (R$)</t>
  </si>
  <si>
    <t>VALOR IPI (%)</t>
  </si>
  <si>
    <t>CCS IND. E COM. DE EMBALAGENS PLASTICAS LTDA.</t>
  </si>
  <si>
    <t>RODOVIA SC 443, KM 03</t>
  </si>
  <si>
    <t>S/N</t>
  </si>
  <si>
    <t>88820-000</t>
  </si>
  <si>
    <t>PRESIDENTE VARGAS</t>
  </si>
  <si>
    <t>IÇARA</t>
  </si>
  <si>
    <t>ccs.emb@terra.com.br</t>
  </si>
  <si>
    <t>48 3462-1864/1462</t>
  </si>
  <si>
    <t>80.130.487/0001-66</t>
  </si>
  <si>
    <t>TOTAL/ITEM (R$)</t>
  </si>
  <si>
    <t>TOTAL/CONJUNTO (R$)</t>
  </si>
  <si>
    <t>E-MAIL Nfe</t>
  </si>
  <si>
    <t>MIL</t>
  </si>
  <si>
    <t>SOBRE-TAMPA TRANSPARENTE</t>
  </si>
  <si>
    <t>MÃO-DE-OBRA PARA APLICAÇÃO DE SELOS E MONTAGEM DE TAMPAS</t>
  </si>
  <si>
    <t>FRASCO 200 G</t>
  </si>
  <si>
    <t>TAMPA TIPO CONE</t>
  </si>
  <si>
    <t>PRODUTOS ALIMENTICIOS SUPERBOM IND. E COM. LTDA.</t>
  </si>
  <si>
    <t>RUA DOMINGOS PEIXOTO DA SILVA</t>
  </si>
  <si>
    <t>05868-680</t>
  </si>
  <si>
    <t>CAPÃO REDONDO</t>
  </si>
  <si>
    <t>SÃO PAULO</t>
  </si>
  <si>
    <t>SP</t>
  </si>
  <si>
    <t>compras.01@superbom.com.br</t>
  </si>
  <si>
    <t>11 2842-1807</t>
  </si>
  <si>
    <t>JOÃO GOMES</t>
  </si>
  <si>
    <t>X</t>
  </si>
  <si>
    <t>ACIMA</t>
  </si>
  <si>
    <t>O MESMO</t>
  </si>
  <si>
    <t>28/35/42/49/56 DIAS DA DATA DE FATURAMENTO, LÍQUIDO.</t>
  </si>
  <si>
    <t>REEMBALAGEM RETORNAVEL PARA TRANSPORTE E ARMAZENAMENTO: CAIXAS DE PAPELÃO.</t>
  </si>
  <si>
    <t>A MERCADORIA SOMENTE SERÁ ACEITA SE O NUMERO DA ORDEM DE COMPRA ESTIVER DESTACADO NA NOTA FISCAL.</t>
  </si>
  <si>
    <r>
      <t>C</t>
    </r>
    <r>
      <rPr>
        <sz val="12"/>
        <color theme="1"/>
        <rFont val="Calibri"/>
        <family val="2"/>
      </rPr>
      <t>ONTATO</t>
    </r>
  </si>
  <si>
    <t>53.135.232/0001-13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</si>
</sst>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2" fillId="0" borderId="4" xfId="0" applyFont="1" applyBorder="1"/>
    <xf numFmtId="0" fontId="2" fillId="0" borderId="3" xfId="0" applyFont="1" applyBorder="1"/>
    <xf numFmtId="0" fontId="2" fillId="0" borderId="2" xfId="0" applyFont="1" applyBorder="1"/>
    <xf numFmtId="0" fontId="0" fillId="0" borderId="3" xfId="0" applyBorder="1"/>
    <xf numFmtId="0" fontId="2" fillId="0" borderId="7" xfId="0" applyFont="1" applyBorder="1"/>
    <xf numFmtId="0" fontId="2" fillId="0" borderId="8" xfId="0" applyFont="1" applyBorder="1"/>
    <xf numFmtId="0" fontId="0" fillId="0" borderId="8" xfId="0" applyBorder="1"/>
    <xf numFmtId="0" fontId="2" fillId="0" borderId="9" xfId="0" applyFont="1" applyBorder="1"/>
    <xf numFmtId="0" fontId="0" fillId="0" borderId="4" xfId="0" applyBorder="1"/>
    <xf numFmtId="0" fontId="0" fillId="0" borderId="9" xfId="0" applyBorder="1"/>
    <xf numFmtId="0" fontId="2" fillId="0" borderId="5" xfId="0" applyFont="1" applyBorder="1"/>
    <xf numFmtId="0" fontId="2" fillId="0" borderId="6" xfId="0" applyFont="1" applyBorder="1"/>
    <xf numFmtId="0" fontId="0" fillId="0" borderId="6" xfId="0" applyBorder="1"/>
    <xf numFmtId="3" fontId="1" fillId="0" borderId="8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3" fontId="3" fillId="3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6" fillId="0" borderId="8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7" fillId="0" borderId="0" xfId="0" applyFont="1" applyAlignment="1">
      <alignment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3" fillId="2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0" xfId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0" fontId="4" fillId="2" borderId="10" xfId="1" applyFill="1" applyBorder="1" applyAlignment="1">
      <alignment horizontal="center" vertical="center"/>
    </xf>
    <xf numFmtId="0" fontId="4" fillId="2" borderId="11" xfId="1" applyFill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4" fontId="2" fillId="0" borderId="12" xfId="0" applyNumberFormat="1" applyFont="1" applyBorder="1" applyAlignment="1">
      <alignment horizontal="center" vertical="center"/>
    </xf>
    <xf numFmtId="4" fontId="0" fillId="0" borderId="10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3</xdr:row>
      <xdr:rowOff>190500</xdr:rowOff>
    </xdr:from>
    <xdr:to>
      <xdr:col>28</xdr:col>
      <xdr:colOff>330200</xdr:colOff>
      <xdr:row>8</xdr:row>
      <xdr:rowOff>165100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F068E1C6-FF99-4B11-8346-EB705F8ACD67}"/>
            </a:ext>
          </a:extLst>
        </xdr:cNvPr>
        <xdr:cNvSpPr txBox="1">
          <a:spLocks noChangeArrowheads="1"/>
        </xdr:cNvSpPr>
      </xdr:nvSpPr>
      <xdr:spPr bwMode="auto">
        <a:xfrm>
          <a:off x="2813050" y="565150"/>
          <a:ext cx="6261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200" b="1">
              <a:effectLst/>
              <a:latin typeface="Arial" panose="020B0604020202020204" pitchFamily="34" charset="0"/>
              <a:ea typeface="Times New Roman"/>
              <a:cs typeface="Arial" panose="020B0604020202020204" pitchFamily="34" charset="0"/>
            </a:rPr>
            <a:t>M F LUCCHESE ASSESSORIA E CONSULTORIA EMPRESARIAL LTDA.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200" b="1" baseline="0">
              <a:effectLst/>
              <a:latin typeface="Arial" panose="020B0604020202020204" pitchFamily="34" charset="0"/>
              <a:ea typeface="Times New Roman"/>
              <a:cs typeface="Arial" panose="020B0604020202020204" pitchFamily="34" charset="0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100" b="1">
            <a:effectLst/>
            <a:latin typeface="Arial" panose="020B0604020202020204" pitchFamily="34" charset="0"/>
            <a:ea typeface="Times New Roman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254000</xdr:colOff>
      <xdr:row>3</xdr:row>
      <xdr:rowOff>184150</xdr:rowOff>
    </xdr:from>
    <xdr:to>
      <xdr:col>11</xdr:col>
      <xdr:colOff>159217</xdr:colOff>
      <xdr:row>8</xdr:row>
      <xdr:rowOff>13963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6C74CA2-D2B0-4A9E-B53E-D93B3D0C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50" y="558800"/>
          <a:ext cx="2788117" cy="845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mpras.01@superbom.com.br" TargetMode="External"/><Relationship Id="rId1" Type="http://schemas.openxmlformats.org/officeDocument/2006/relationships/hyperlink" Target="mailto:ccs.emb@terra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F52A-C1A3-41C8-AF9B-2A6D47DC1FC1}">
  <dimension ref="A1:AQ219"/>
  <sheetViews>
    <sheetView tabSelected="1" topLeftCell="A40" zoomScaleNormal="100" workbookViewId="0">
      <selection activeCell="I56" sqref="I56"/>
    </sheetView>
  </sheetViews>
  <sheetFormatPr defaultRowHeight="14.5" x14ac:dyDescent="0.35"/>
  <cols>
    <col min="1" max="1" width="0.6328125" customWidth="1"/>
    <col min="2" max="2" width="1.08984375" customWidth="1"/>
    <col min="3" max="4" width="4.6328125" customWidth="1"/>
    <col min="5" max="5" width="4.36328125" customWidth="1"/>
    <col min="6" max="6" width="5.6328125" customWidth="1"/>
    <col min="7" max="7" width="6" customWidth="1"/>
    <col min="8" max="8" width="3" customWidth="1"/>
    <col min="9" max="9" width="5.36328125" customWidth="1"/>
    <col min="10" max="10" width="3" customWidth="1"/>
    <col min="11" max="11" width="4.6328125" customWidth="1"/>
    <col min="12" max="12" width="3" customWidth="1"/>
    <col min="13" max="13" width="5.54296875" customWidth="1"/>
    <col min="14" max="14" width="3" customWidth="1"/>
    <col min="15" max="17" width="4.6328125" customWidth="1"/>
    <col min="18" max="18" width="3.08984375" customWidth="1"/>
    <col min="19" max="19" width="6.1796875" customWidth="1"/>
    <col min="20" max="20" width="5.7265625" customWidth="1"/>
    <col min="21" max="21" width="4.08984375" customWidth="1"/>
    <col min="22" max="22" width="6.7265625" customWidth="1"/>
    <col min="23" max="23" width="4.6328125" customWidth="1"/>
    <col min="24" max="24" width="4.26953125" customWidth="1"/>
    <col min="25" max="25" width="4.6328125" customWidth="1"/>
    <col min="26" max="26" width="5.6328125" customWidth="1"/>
    <col min="27" max="27" width="5.7265625" customWidth="1"/>
    <col min="28" max="28" width="8" customWidth="1"/>
    <col min="29" max="29" width="5.26953125" customWidth="1"/>
    <col min="30" max="31" width="4.6328125" customWidth="1"/>
    <col min="32" max="32" width="5.1796875" customWidth="1"/>
    <col min="33" max="33" width="5" customWidth="1"/>
    <col min="34" max="34" width="3.08984375" customWidth="1"/>
    <col min="35" max="35" width="4.6328125" customWidth="1"/>
    <col min="36" max="36" width="3.36328125" customWidth="1"/>
    <col min="37" max="37" width="5.453125" customWidth="1"/>
    <col min="38" max="38" width="1.08984375" customWidth="1"/>
  </cols>
  <sheetData>
    <row r="1" spans="1:43" ht="7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43" ht="7" customHeight="1" thickBot="1" x14ac:dyDescent="0.4">
      <c r="A2" s="1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12"/>
    </row>
    <row r="3" spans="1:43" ht="15.5" customHeight="1" x14ac:dyDescent="0.35">
      <c r="A3" s="1"/>
      <c r="B3" s="14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12"/>
      <c r="AL3" s="16"/>
    </row>
    <row r="4" spans="1:43" ht="16" x14ac:dyDescent="0.4">
      <c r="A4" s="1"/>
      <c r="B4" s="14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AK4" s="19"/>
      <c r="AL4" s="16"/>
      <c r="AN4" s="20"/>
      <c r="AO4" s="20"/>
      <c r="AP4" s="20"/>
      <c r="AQ4" s="21"/>
    </row>
    <row r="5" spans="1:43" ht="16.5" thickBot="1" x14ac:dyDescent="0.45">
      <c r="A5" s="1"/>
      <c r="B5" s="14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AC5" s="60" t="s">
        <v>29</v>
      </c>
      <c r="AD5" s="60"/>
      <c r="AE5" s="60"/>
      <c r="AF5" s="60"/>
      <c r="AG5" s="60"/>
      <c r="AH5" s="60"/>
      <c r="AI5" s="60"/>
      <c r="AJ5" s="60"/>
      <c r="AK5" s="19"/>
      <c r="AL5" s="15"/>
      <c r="AN5" s="63"/>
      <c r="AO5" s="63"/>
      <c r="AP5" s="63"/>
      <c r="AQ5" s="63"/>
    </row>
    <row r="6" spans="1:43" ht="16" thickBot="1" x14ac:dyDescent="0.4">
      <c r="A6" s="1"/>
      <c r="B6" s="14"/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AC6" s="57" t="s">
        <v>31</v>
      </c>
      <c r="AD6" s="58"/>
      <c r="AE6" s="58"/>
      <c r="AF6" s="58"/>
      <c r="AG6" s="58"/>
      <c r="AH6" s="58"/>
      <c r="AI6" s="58"/>
      <c r="AJ6" s="59"/>
      <c r="AK6" s="19"/>
      <c r="AL6" s="15"/>
      <c r="AN6" s="22"/>
      <c r="AO6" s="23"/>
      <c r="AP6" s="22"/>
      <c r="AQ6" s="23"/>
    </row>
    <row r="7" spans="1:43" ht="16" thickBot="1" x14ac:dyDescent="0.4">
      <c r="A7" s="1"/>
      <c r="B7" s="14"/>
      <c r="C7" s="108"/>
      <c r="D7" s="98"/>
      <c r="E7" s="98"/>
      <c r="F7" s="33"/>
      <c r="G7" s="33"/>
      <c r="H7" s="33"/>
      <c r="I7" s="33"/>
      <c r="J7" s="33"/>
      <c r="K7" s="34"/>
      <c r="L7" s="33"/>
      <c r="M7" s="33"/>
      <c r="N7" s="33"/>
      <c r="O7" s="33"/>
      <c r="P7" s="33"/>
      <c r="Q7" s="33"/>
      <c r="R7" s="33"/>
      <c r="S7" s="98"/>
      <c r="T7" s="98"/>
      <c r="U7" s="98"/>
      <c r="V7" s="34"/>
      <c r="W7" s="34"/>
      <c r="X7" s="34"/>
      <c r="Y7" s="34"/>
      <c r="Z7" s="34"/>
      <c r="AA7" s="34"/>
      <c r="AB7" s="34"/>
      <c r="AC7" s="27" t="s">
        <v>32</v>
      </c>
      <c r="AD7" s="61" t="s">
        <v>30</v>
      </c>
      <c r="AE7" s="61"/>
      <c r="AF7" s="61"/>
      <c r="AG7" s="61"/>
      <c r="AH7" s="61"/>
      <c r="AI7" s="61"/>
      <c r="AJ7" s="62"/>
      <c r="AK7" s="19"/>
      <c r="AL7" s="15"/>
    </row>
    <row r="8" spans="1:43" ht="15.5" x14ac:dyDescent="0.35">
      <c r="A8" s="1"/>
      <c r="B8" s="14"/>
      <c r="C8" s="108"/>
      <c r="D8" s="98"/>
      <c r="E8" s="98"/>
      <c r="F8" s="103"/>
      <c r="G8" s="103"/>
      <c r="H8" s="103"/>
      <c r="I8" s="103"/>
      <c r="J8" s="106"/>
      <c r="K8" s="106"/>
      <c r="L8" s="106"/>
      <c r="M8" s="106"/>
      <c r="N8" s="100"/>
      <c r="O8" s="100"/>
      <c r="P8" s="100"/>
      <c r="Q8" s="100"/>
      <c r="R8" s="100"/>
      <c r="S8" s="30"/>
      <c r="T8" s="35"/>
      <c r="U8" s="107"/>
      <c r="V8" s="107"/>
      <c r="W8" s="3"/>
      <c r="X8" s="36"/>
      <c r="Y8" s="36"/>
      <c r="Z8" s="36"/>
      <c r="AA8" s="36"/>
      <c r="AB8" s="36"/>
      <c r="AC8" s="99"/>
      <c r="AD8" s="99"/>
      <c r="AE8" s="99"/>
      <c r="AF8" s="33"/>
      <c r="AG8" s="33"/>
      <c r="AH8" s="33"/>
      <c r="AI8" s="33"/>
      <c r="AJ8" s="33"/>
      <c r="AK8" s="18"/>
      <c r="AL8" s="15"/>
    </row>
    <row r="9" spans="1:43" ht="15.5" x14ac:dyDescent="0.35">
      <c r="A9" s="1"/>
      <c r="B9" s="14"/>
      <c r="C9" s="108"/>
      <c r="D9" s="98"/>
      <c r="E9" s="98"/>
      <c r="F9" s="103"/>
      <c r="G9" s="103"/>
      <c r="H9" s="103"/>
      <c r="I9" s="103"/>
      <c r="J9" s="98"/>
      <c r="K9" s="98"/>
      <c r="L9" s="98"/>
      <c r="M9" s="98"/>
      <c r="N9" s="103"/>
      <c r="O9" s="103"/>
      <c r="P9" s="103"/>
      <c r="Q9" s="103"/>
      <c r="R9" s="103"/>
      <c r="S9" s="98"/>
      <c r="T9" s="98"/>
      <c r="U9" s="98"/>
      <c r="V9" s="98"/>
      <c r="W9" s="98"/>
      <c r="X9" s="98"/>
      <c r="Y9" s="36"/>
      <c r="Z9" s="36"/>
      <c r="AA9" s="36"/>
      <c r="AB9" s="36"/>
      <c r="AC9" s="99"/>
      <c r="AD9" s="99"/>
      <c r="AE9" s="99"/>
      <c r="AF9" s="100"/>
      <c r="AG9" s="100"/>
      <c r="AH9" s="100"/>
      <c r="AI9" s="100"/>
      <c r="AJ9" s="100"/>
      <c r="AK9" s="101"/>
      <c r="AL9" s="15"/>
    </row>
    <row r="10" spans="1:43" ht="16" thickBot="1" x14ac:dyDescent="0.4">
      <c r="A10" s="1"/>
      <c r="B10" s="14"/>
      <c r="C10" s="104"/>
      <c r="D10" s="105"/>
      <c r="E10" s="105"/>
      <c r="F10" s="9"/>
      <c r="G10" s="9"/>
      <c r="H10" s="9"/>
      <c r="I10" s="9"/>
      <c r="J10" s="75"/>
      <c r="K10" s="75"/>
      <c r="L10" s="75"/>
      <c r="M10" s="75"/>
      <c r="N10" s="102"/>
      <c r="O10" s="102"/>
      <c r="P10" s="102"/>
      <c r="Q10" s="102"/>
      <c r="R10" s="102"/>
      <c r="S10" s="75"/>
      <c r="T10" s="75"/>
      <c r="U10" s="75"/>
      <c r="V10" s="75"/>
      <c r="W10" s="75"/>
      <c r="X10" s="75"/>
      <c r="Y10" s="17"/>
      <c r="Z10" s="17"/>
      <c r="AA10" s="17"/>
      <c r="AB10" s="17"/>
      <c r="AC10" s="17"/>
      <c r="AD10" s="10"/>
      <c r="AE10" s="10"/>
      <c r="AF10" s="9"/>
      <c r="AG10" s="9"/>
      <c r="AH10" s="9"/>
      <c r="AI10" s="9"/>
      <c r="AJ10" s="9"/>
      <c r="AK10" s="11"/>
      <c r="AL10" s="15"/>
    </row>
    <row r="11" spans="1:43" ht="16" thickBot="1" x14ac:dyDescent="0.4">
      <c r="A11" s="1"/>
      <c r="B11" s="14"/>
      <c r="C11" s="1"/>
      <c r="D11" s="1"/>
      <c r="E11" s="1"/>
      <c r="F11" s="1"/>
      <c r="G11" s="1"/>
      <c r="H11" s="1"/>
      <c r="I11" s="1"/>
      <c r="J11" s="98"/>
      <c r="K11" s="98"/>
      <c r="L11" s="98"/>
      <c r="M11" s="98"/>
      <c r="N11" s="103"/>
      <c r="O11" s="103"/>
      <c r="P11" s="103"/>
      <c r="Q11" s="103"/>
      <c r="R11" s="103"/>
      <c r="S11" s="98"/>
      <c r="T11" s="98"/>
      <c r="U11" s="98"/>
      <c r="V11" s="98"/>
      <c r="W11" s="98"/>
      <c r="X11" s="98"/>
      <c r="Y11" s="97"/>
      <c r="Z11" s="97"/>
      <c r="AA11" s="97"/>
      <c r="AB11" s="97"/>
      <c r="AC11" s="97"/>
      <c r="AF11" s="1"/>
      <c r="AG11" s="1"/>
      <c r="AH11" s="1"/>
      <c r="AI11" s="1"/>
      <c r="AJ11" s="1"/>
      <c r="AK11" s="1"/>
      <c r="AL11" s="15"/>
    </row>
    <row r="12" spans="1:43" ht="16" thickBot="1" x14ac:dyDescent="0.4">
      <c r="A12" s="1"/>
      <c r="B12" s="14"/>
      <c r="C12" s="48" t="s">
        <v>0</v>
      </c>
      <c r="D12" s="49"/>
      <c r="E12" s="50"/>
      <c r="F12" s="54" t="s">
        <v>37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6"/>
      <c r="S12" s="48" t="s">
        <v>1</v>
      </c>
      <c r="T12" s="49"/>
      <c r="U12" s="50"/>
      <c r="V12" s="51" t="s">
        <v>38</v>
      </c>
      <c r="W12" s="52"/>
      <c r="X12" s="52"/>
      <c r="Y12" s="52"/>
      <c r="Z12" s="52"/>
      <c r="AA12" s="52"/>
      <c r="AB12" s="52"/>
      <c r="AC12" s="53"/>
      <c r="AD12" s="46" t="s">
        <v>4</v>
      </c>
      <c r="AE12" s="47"/>
      <c r="AF12" s="25" t="s">
        <v>39</v>
      </c>
      <c r="AG12" s="39" t="s">
        <v>5</v>
      </c>
      <c r="AH12" s="41"/>
      <c r="AI12" s="51" t="s">
        <v>40</v>
      </c>
      <c r="AJ12" s="52"/>
      <c r="AK12" s="53"/>
      <c r="AL12" s="15"/>
    </row>
    <row r="13" spans="1:43" ht="16" thickBot="1" x14ac:dyDescent="0.4">
      <c r="A13" s="1"/>
      <c r="B13" s="14"/>
      <c r="C13" s="48" t="s">
        <v>2</v>
      </c>
      <c r="D13" s="49"/>
      <c r="E13" s="50"/>
      <c r="F13" s="51" t="s">
        <v>41</v>
      </c>
      <c r="G13" s="52"/>
      <c r="H13" s="52"/>
      <c r="I13" s="53"/>
      <c r="J13" s="39" t="s">
        <v>6</v>
      </c>
      <c r="K13" s="40"/>
      <c r="L13" s="40"/>
      <c r="M13" s="41"/>
      <c r="N13" s="54" t="s">
        <v>42</v>
      </c>
      <c r="O13" s="55"/>
      <c r="P13" s="55"/>
      <c r="Q13" s="55"/>
      <c r="R13" s="56"/>
      <c r="S13" s="2" t="s">
        <v>7</v>
      </c>
      <c r="T13" s="26" t="s">
        <v>8</v>
      </c>
      <c r="U13" s="78" t="s">
        <v>9</v>
      </c>
      <c r="V13" s="80"/>
      <c r="W13" s="95" t="s">
        <v>43</v>
      </c>
      <c r="X13" s="96"/>
      <c r="Y13" s="96"/>
      <c r="Z13" s="96"/>
      <c r="AA13" s="96"/>
      <c r="AB13" s="96"/>
      <c r="AC13" s="46" t="s">
        <v>3</v>
      </c>
      <c r="AD13" s="67"/>
      <c r="AE13" s="47"/>
      <c r="AF13" s="54" t="s">
        <v>44</v>
      </c>
      <c r="AG13" s="55"/>
      <c r="AH13" s="55"/>
      <c r="AI13" s="55"/>
      <c r="AJ13" s="55"/>
      <c r="AK13" s="56"/>
      <c r="AL13" s="15"/>
    </row>
    <row r="14" spans="1:43" ht="16" thickBot="1" x14ac:dyDescent="0.4">
      <c r="A14" s="1"/>
      <c r="B14" s="14"/>
      <c r="C14" s="1"/>
      <c r="D14" s="1"/>
      <c r="E14" s="1"/>
      <c r="F14" s="1"/>
      <c r="G14" s="1"/>
      <c r="H14" s="1"/>
      <c r="I14" s="1"/>
      <c r="J14" s="74" t="s">
        <v>10</v>
      </c>
      <c r="K14" s="75"/>
      <c r="L14" s="75"/>
      <c r="M14" s="76"/>
      <c r="N14" s="91" t="s">
        <v>45</v>
      </c>
      <c r="O14" s="92"/>
      <c r="P14" s="92"/>
      <c r="Q14" s="92"/>
      <c r="R14" s="93"/>
      <c r="S14" s="74" t="s">
        <v>11</v>
      </c>
      <c r="T14" s="75"/>
      <c r="U14" s="75"/>
      <c r="V14" s="75"/>
      <c r="W14" s="75"/>
      <c r="X14" s="76"/>
      <c r="Y14" s="94">
        <v>251553949</v>
      </c>
      <c r="Z14" s="52"/>
      <c r="AA14" s="52"/>
      <c r="AB14" s="52"/>
      <c r="AC14" s="53"/>
      <c r="AF14" s="30"/>
      <c r="AG14" s="1"/>
      <c r="AH14" s="1"/>
      <c r="AI14" s="1"/>
      <c r="AJ14" s="1"/>
      <c r="AK14" s="1"/>
      <c r="AL14" s="15"/>
    </row>
    <row r="15" spans="1:43" ht="16" thickBot="1" x14ac:dyDescent="0.4">
      <c r="A15" s="1"/>
      <c r="B15" s="1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AF15" s="1"/>
      <c r="AG15" s="1"/>
      <c r="AH15" s="1"/>
      <c r="AI15" s="1"/>
      <c r="AJ15" s="1"/>
      <c r="AK15" s="1"/>
      <c r="AL15" s="15"/>
    </row>
    <row r="16" spans="1:43" ht="16" thickBot="1" x14ac:dyDescent="0.4">
      <c r="A16" s="1"/>
      <c r="B16" s="14"/>
      <c r="C16" s="48" t="s">
        <v>12</v>
      </c>
      <c r="D16" s="49"/>
      <c r="E16" s="50"/>
      <c r="F16" s="51" t="s">
        <v>54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3"/>
      <c r="S16" s="48" t="s">
        <v>1</v>
      </c>
      <c r="T16" s="49"/>
      <c r="U16" s="50"/>
      <c r="V16" s="51" t="s">
        <v>55</v>
      </c>
      <c r="W16" s="52"/>
      <c r="X16" s="52"/>
      <c r="Y16" s="52"/>
      <c r="Z16" s="52"/>
      <c r="AA16" s="52"/>
      <c r="AB16" s="52"/>
      <c r="AC16" s="53"/>
      <c r="AD16" s="46" t="s">
        <v>4</v>
      </c>
      <c r="AE16" s="47"/>
      <c r="AF16" s="25">
        <v>245</v>
      </c>
      <c r="AG16" s="39" t="s">
        <v>5</v>
      </c>
      <c r="AH16" s="41"/>
      <c r="AI16" s="51" t="s">
        <v>56</v>
      </c>
      <c r="AJ16" s="52"/>
      <c r="AK16" s="53"/>
      <c r="AL16" s="15"/>
    </row>
    <row r="17" spans="1:38" ht="16" thickBot="1" x14ac:dyDescent="0.4">
      <c r="A17" s="1"/>
      <c r="B17" s="14"/>
      <c r="C17" s="48" t="s">
        <v>2</v>
      </c>
      <c r="D17" s="49"/>
      <c r="E17" s="49"/>
      <c r="F17" s="73" t="s">
        <v>57</v>
      </c>
      <c r="G17" s="68"/>
      <c r="H17" s="68"/>
      <c r="I17" s="68"/>
      <c r="J17" s="68"/>
      <c r="K17" s="69"/>
      <c r="L17" s="39" t="s">
        <v>6</v>
      </c>
      <c r="M17" s="41"/>
      <c r="N17" s="54" t="s">
        <v>58</v>
      </c>
      <c r="O17" s="55"/>
      <c r="P17" s="55"/>
      <c r="Q17" s="55"/>
      <c r="R17" s="56"/>
      <c r="S17" s="2" t="s">
        <v>7</v>
      </c>
      <c r="T17" s="25" t="s">
        <v>59</v>
      </c>
      <c r="U17" s="39" t="s">
        <v>48</v>
      </c>
      <c r="V17" s="41"/>
      <c r="W17" s="90" t="s">
        <v>60</v>
      </c>
      <c r="X17" s="65"/>
      <c r="Y17" s="65"/>
      <c r="Z17" s="65"/>
      <c r="AA17" s="65"/>
      <c r="AB17" s="65"/>
      <c r="AC17" s="65"/>
      <c r="AD17" s="65"/>
      <c r="AE17" s="66"/>
      <c r="AF17" s="39" t="s">
        <v>3</v>
      </c>
      <c r="AG17" s="41"/>
      <c r="AH17" s="54" t="s">
        <v>61</v>
      </c>
      <c r="AI17" s="55"/>
      <c r="AJ17" s="55"/>
      <c r="AK17" s="56"/>
      <c r="AL17" s="15"/>
    </row>
    <row r="18" spans="1:38" ht="16" thickBot="1" x14ac:dyDescent="0.4">
      <c r="A18" s="1"/>
      <c r="B18" s="14"/>
      <c r="C18" s="39" t="s">
        <v>10</v>
      </c>
      <c r="D18" s="40"/>
      <c r="E18" s="41"/>
      <c r="F18" s="118" t="s">
        <v>70</v>
      </c>
      <c r="G18" s="119"/>
      <c r="H18" s="119"/>
      <c r="I18" s="120"/>
      <c r="J18" s="48" t="s">
        <v>11</v>
      </c>
      <c r="K18" s="49"/>
      <c r="L18" s="49"/>
      <c r="M18" s="49"/>
      <c r="N18" s="49"/>
      <c r="O18" s="50"/>
      <c r="P18" s="45">
        <v>100014624117</v>
      </c>
      <c r="Q18" s="43"/>
      <c r="R18" s="43"/>
      <c r="S18" s="44"/>
      <c r="T18" s="87" t="s">
        <v>69</v>
      </c>
      <c r="U18" s="88"/>
      <c r="V18" s="42" t="s">
        <v>62</v>
      </c>
      <c r="W18" s="43"/>
      <c r="X18" s="43"/>
      <c r="Y18" s="43"/>
      <c r="Z18" s="43"/>
      <c r="AA18" s="43"/>
      <c r="AB18" s="44"/>
      <c r="AC18" s="46" t="s">
        <v>9</v>
      </c>
      <c r="AD18" s="47"/>
      <c r="AE18" s="84" t="s">
        <v>60</v>
      </c>
      <c r="AF18" s="85"/>
      <c r="AG18" s="85"/>
      <c r="AH18" s="85"/>
      <c r="AI18" s="85"/>
      <c r="AJ18" s="85"/>
      <c r="AK18" s="86"/>
      <c r="AL18" s="15"/>
    </row>
    <row r="19" spans="1:38" ht="16" thickBot="1" x14ac:dyDescent="0.4">
      <c r="A19" s="1"/>
      <c r="B19" s="14"/>
      <c r="C19" s="121"/>
      <c r="D19" s="121"/>
      <c r="E19" s="121"/>
      <c r="F19" s="122"/>
      <c r="G19" s="122"/>
      <c r="H19" s="122"/>
      <c r="I19" s="122"/>
      <c r="J19" s="123"/>
      <c r="K19" s="123"/>
      <c r="L19" s="123"/>
      <c r="M19" s="123"/>
      <c r="N19" s="123"/>
      <c r="O19" s="123"/>
      <c r="P19" s="124"/>
      <c r="Q19" s="124"/>
      <c r="R19" s="124"/>
      <c r="S19" s="124"/>
      <c r="T19" s="124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"/>
      <c r="AH19" s="1"/>
      <c r="AI19" s="1"/>
      <c r="AJ19" s="1"/>
      <c r="AK19" s="1"/>
      <c r="AL19" s="15"/>
    </row>
    <row r="20" spans="1:38" ht="16" thickBot="1" x14ac:dyDescent="0.4">
      <c r="A20" s="1"/>
      <c r="B20" s="14"/>
      <c r="C20" s="48" t="s">
        <v>14</v>
      </c>
      <c r="D20" s="49"/>
      <c r="E20" s="50"/>
      <c r="F20" s="54">
        <v>185</v>
      </c>
      <c r="G20" s="55"/>
      <c r="H20" s="56"/>
      <c r="I20" s="48" t="s">
        <v>15</v>
      </c>
      <c r="J20" s="49"/>
      <c r="K20" s="49"/>
      <c r="L20" s="49"/>
      <c r="M20" s="50"/>
      <c r="N20" s="77">
        <v>45877</v>
      </c>
      <c r="O20" s="52"/>
      <c r="P20" s="52"/>
      <c r="Q20" s="53"/>
      <c r="R20" s="48" t="s">
        <v>16</v>
      </c>
      <c r="S20" s="49"/>
      <c r="T20" s="49"/>
      <c r="U20" s="49"/>
      <c r="V20" s="49"/>
      <c r="W20" s="49"/>
      <c r="X20" s="50"/>
      <c r="Y20" s="81">
        <v>36335</v>
      </c>
      <c r="Z20" s="82"/>
      <c r="AA20" s="83"/>
      <c r="AB20" s="78" t="s">
        <v>13</v>
      </c>
      <c r="AC20" s="79"/>
      <c r="AD20" s="79"/>
      <c r="AE20" s="79"/>
      <c r="AF20" s="79"/>
      <c r="AG20" s="80"/>
      <c r="AH20" s="77">
        <v>45897</v>
      </c>
      <c r="AI20" s="52"/>
      <c r="AJ20" s="52"/>
      <c r="AK20" s="53"/>
      <c r="AL20" s="15"/>
    </row>
    <row r="21" spans="1:38" ht="16" thickBot="1" x14ac:dyDescent="0.4">
      <c r="A21" s="1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AF21" s="1"/>
      <c r="AG21" s="1"/>
      <c r="AH21" s="1"/>
      <c r="AI21" s="1"/>
      <c r="AJ21" s="1"/>
      <c r="AK21" s="1"/>
      <c r="AL21" s="15"/>
    </row>
    <row r="22" spans="1:38" ht="16" thickBot="1" x14ac:dyDescent="0.4">
      <c r="A22" s="1"/>
      <c r="B22" s="14"/>
      <c r="C22" s="39" t="s">
        <v>17</v>
      </c>
      <c r="D22" s="40"/>
      <c r="E22" s="40"/>
      <c r="F22" s="40"/>
      <c r="G22" s="41"/>
      <c r="H22" s="51" t="s">
        <v>64</v>
      </c>
      <c r="I22" s="52"/>
      <c r="J22" s="52"/>
      <c r="K22" s="52"/>
      <c r="L22" s="52"/>
      <c r="M22" s="52"/>
      <c r="N22" s="52"/>
      <c r="O22" s="52"/>
      <c r="P22" s="52"/>
      <c r="Q22" s="89"/>
      <c r="R22" s="89"/>
      <c r="S22" s="89"/>
      <c r="T22" s="52"/>
      <c r="U22" s="53"/>
      <c r="V22" s="48" t="s">
        <v>6</v>
      </c>
      <c r="W22" s="49"/>
      <c r="X22" s="49"/>
      <c r="Y22" s="50"/>
      <c r="Z22" s="70"/>
      <c r="AA22" s="71"/>
      <c r="AB22" s="71"/>
      <c r="AC22" s="71"/>
      <c r="AD22" s="71"/>
      <c r="AE22" s="71"/>
      <c r="AF22" s="71"/>
      <c r="AG22" s="71"/>
      <c r="AH22" s="71"/>
      <c r="AI22" s="72"/>
      <c r="AJ22" s="2" t="s">
        <v>7</v>
      </c>
      <c r="AK22" s="24"/>
      <c r="AL22" s="15"/>
    </row>
    <row r="23" spans="1:38" ht="16" thickBot="1" x14ac:dyDescent="0.4">
      <c r="A23" s="1"/>
      <c r="B23" s="14"/>
      <c r="C23" s="74" t="s">
        <v>10</v>
      </c>
      <c r="D23" s="75"/>
      <c r="E23" s="75"/>
      <c r="F23" s="76"/>
      <c r="G23" s="73"/>
      <c r="H23" s="68"/>
      <c r="I23" s="68"/>
      <c r="J23" s="69"/>
      <c r="K23" s="39" t="s">
        <v>11</v>
      </c>
      <c r="L23" s="40"/>
      <c r="M23" s="40"/>
      <c r="N23" s="40"/>
      <c r="O23" s="41"/>
      <c r="P23" s="73"/>
      <c r="Q23" s="68"/>
      <c r="R23" s="68"/>
      <c r="S23" s="69"/>
      <c r="T23" s="39" t="s">
        <v>2</v>
      </c>
      <c r="U23" s="40"/>
      <c r="V23" s="41"/>
      <c r="W23" s="73"/>
      <c r="X23" s="68"/>
      <c r="Y23" s="68"/>
      <c r="Z23" s="68"/>
      <c r="AA23" s="68"/>
      <c r="AB23" s="69"/>
      <c r="AC23" s="46" t="s">
        <v>3</v>
      </c>
      <c r="AD23" s="67"/>
      <c r="AE23" s="47"/>
      <c r="AF23" s="73"/>
      <c r="AG23" s="68"/>
      <c r="AH23" s="68"/>
      <c r="AI23" s="69"/>
      <c r="AJ23" s="2" t="s">
        <v>7</v>
      </c>
      <c r="AK23" s="24"/>
      <c r="AL23" s="15"/>
    </row>
    <row r="24" spans="1:38" ht="16" thickBot="1" x14ac:dyDescent="0.4">
      <c r="A24" s="1"/>
      <c r="B24" s="14"/>
      <c r="C24" s="39" t="s">
        <v>20</v>
      </c>
      <c r="D24" s="40"/>
      <c r="E24" s="40"/>
      <c r="F24" s="41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9"/>
      <c r="T24" s="39" t="s">
        <v>3</v>
      </c>
      <c r="U24" s="40"/>
      <c r="V24" s="40"/>
      <c r="W24" s="41"/>
      <c r="X24" s="54"/>
      <c r="Y24" s="55"/>
      <c r="Z24" s="55"/>
      <c r="AA24" s="56"/>
      <c r="AB24" s="46" t="s">
        <v>19</v>
      </c>
      <c r="AC24" s="67"/>
      <c r="AD24" s="47"/>
      <c r="AE24" s="64"/>
      <c r="AF24" s="65"/>
      <c r="AG24" s="65"/>
      <c r="AH24" s="65"/>
      <c r="AI24" s="65"/>
      <c r="AJ24" s="65"/>
      <c r="AK24" s="66"/>
      <c r="AL24" s="15"/>
    </row>
    <row r="25" spans="1:38" ht="16" thickBot="1" x14ac:dyDescent="0.4">
      <c r="A25" s="1"/>
      <c r="B25" s="1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AF25" s="1"/>
      <c r="AG25" s="1"/>
      <c r="AH25" s="1"/>
      <c r="AI25" s="1"/>
      <c r="AJ25" s="1"/>
      <c r="AK25" s="1"/>
      <c r="AL25" s="15"/>
    </row>
    <row r="26" spans="1:38" ht="16" thickBot="1" x14ac:dyDescent="0.4">
      <c r="A26" s="1"/>
      <c r="B26" s="14"/>
      <c r="C26" s="39" t="s">
        <v>18</v>
      </c>
      <c r="D26" s="40"/>
      <c r="E26" s="40"/>
      <c r="F26" s="40"/>
      <c r="G26" s="41"/>
      <c r="H26" s="51" t="s">
        <v>65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3"/>
      <c r="V26" s="48" t="s">
        <v>6</v>
      </c>
      <c r="W26" s="49"/>
      <c r="X26" s="49"/>
      <c r="Y26" s="50"/>
      <c r="Z26" s="70"/>
      <c r="AA26" s="71"/>
      <c r="AB26" s="71"/>
      <c r="AC26" s="71"/>
      <c r="AD26" s="71"/>
      <c r="AE26" s="71"/>
      <c r="AF26" s="71"/>
      <c r="AG26" s="71"/>
      <c r="AH26" s="71"/>
      <c r="AI26" s="72"/>
      <c r="AJ26" s="2" t="s">
        <v>7</v>
      </c>
      <c r="AK26" s="24"/>
      <c r="AL26" s="15"/>
    </row>
    <row r="27" spans="1:38" ht="16" thickBot="1" x14ac:dyDescent="0.4">
      <c r="A27" s="1"/>
      <c r="B27" s="14"/>
      <c r="C27" s="28"/>
      <c r="D27" s="28"/>
      <c r="E27" s="28"/>
      <c r="F27" s="28"/>
      <c r="G27" s="28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30"/>
      <c r="AK27" s="30"/>
      <c r="AL27" s="15"/>
    </row>
    <row r="28" spans="1:38" ht="16" thickBot="1" x14ac:dyDescent="0.4">
      <c r="A28" s="1"/>
      <c r="B28" s="14"/>
      <c r="C28" s="39" t="s">
        <v>21</v>
      </c>
      <c r="D28" s="40"/>
      <c r="E28" s="40"/>
      <c r="F28" s="41"/>
      <c r="G28" s="39" t="s">
        <v>22</v>
      </c>
      <c r="H28" s="41"/>
      <c r="I28" s="54" t="s">
        <v>63</v>
      </c>
      <c r="J28" s="56"/>
      <c r="K28" s="40" t="s">
        <v>23</v>
      </c>
      <c r="L28" s="40"/>
      <c r="M28" s="73"/>
      <c r="N28" s="69"/>
      <c r="O28" s="39" t="s">
        <v>24</v>
      </c>
      <c r="P28" s="40"/>
      <c r="Q28" s="40"/>
      <c r="R28" s="40"/>
      <c r="S28" s="40"/>
      <c r="T28" s="40"/>
      <c r="U28" s="40"/>
      <c r="V28" s="40"/>
      <c r="W28" s="40"/>
      <c r="X28" s="41"/>
      <c r="Y28" s="54" t="s">
        <v>66</v>
      </c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6"/>
      <c r="AL28" s="15"/>
    </row>
    <row r="29" spans="1:38" ht="16" thickBot="1" x14ac:dyDescent="0.4">
      <c r="A29" s="1"/>
      <c r="B29" s="14"/>
      <c r="C29" s="28"/>
      <c r="D29" s="28"/>
      <c r="E29" s="28"/>
      <c r="F29" s="28"/>
      <c r="G29" s="28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0"/>
      <c r="AK29" s="30"/>
      <c r="AL29" s="15"/>
    </row>
    <row r="30" spans="1:38" ht="16" thickBot="1" x14ac:dyDescent="0.4">
      <c r="A30" s="1"/>
      <c r="B30" s="14"/>
      <c r="C30" s="48" t="s">
        <v>25</v>
      </c>
      <c r="D30" s="49"/>
      <c r="E30" s="50"/>
      <c r="F30" s="2" t="s">
        <v>34</v>
      </c>
      <c r="G30" s="48" t="s">
        <v>26</v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50"/>
      <c r="V30" s="48" t="s">
        <v>35</v>
      </c>
      <c r="W30" s="49"/>
      <c r="X30" s="49"/>
      <c r="Y30" s="50"/>
      <c r="Z30" s="78" t="s">
        <v>33</v>
      </c>
      <c r="AA30" s="79"/>
      <c r="AB30" s="80"/>
      <c r="AC30" s="78" t="s">
        <v>27</v>
      </c>
      <c r="AD30" s="80"/>
      <c r="AE30" s="78" t="s">
        <v>36</v>
      </c>
      <c r="AF30" s="79"/>
      <c r="AG30" s="80"/>
      <c r="AH30" s="78" t="s">
        <v>46</v>
      </c>
      <c r="AI30" s="79"/>
      <c r="AJ30" s="79"/>
      <c r="AK30" s="80"/>
      <c r="AL30" s="16"/>
    </row>
    <row r="31" spans="1:38" ht="16" thickBot="1" x14ac:dyDescent="0.4">
      <c r="A31" s="1"/>
      <c r="B31" s="14"/>
      <c r="C31" s="48">
        <v>36</v>
      </c>
      <c r="D31" s="49"/>
      <c r="E31" s="50"/>
      <c r="F31" s="2" t="s">
        <v>49</v>
      </c>
      <c r="G31" s="48" t="s">
        <v>52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50"/>
      <c r="V31" s="112">
        <v>678.8</v>
      </c>
      <c r="W31" s="113"/>
      <c r="X31" s="113"/>
      <c r="Y31" s="114"/>
      <c r="Z31" s="109">
        <f>(V31*C31)</f>
        <v>24436.799999999999</v>
      </c>
      <c r="AA31" s="110"/>
      <c r="AB31" s="111"/>
      <c r="AC31" s="78">
        <v>0</v>
      </c>
      <c r="AD31" s="80"/>
      <c r="AE31" s="109">
        <f>(Z31*AC31/100)</f>
        <v>0</v>
      </c>
      <c r="AF31" s="110"/>
      <c r="AG31" s="111"/>
      <c r="AH31" s="109">
        <f>(AE31+Z31)</f>
        <v>24436.799999999999</v>
      </c>
      <c r="AI31" s="110"/>
      <c r="AJ31" s="110"/>
      <c r="AK31" s="111"/>
      <c r="AL31" s="16"/>
    </row>
    <row r="32" spans="1:38" ht="16" thickBot="1" x14ac:dyDescent="0.4">
      <c r="A32" s="1"/>
      <c r="B32" s="14"/>
      <c r="C32" s="48">
        <v>36</v>
      </c>
      <c r="D32" s="49"/>
      <c r="E32" s="50"/>
      <c r="F32" s="2" t="s">
        <v>49</v>
      </c>
      <c r="G32" s="48" t="s">
        <v>53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50"/>
      <c r="V32" s="112">
        <v>287.2</v>
      </c>
      <c r="W32" s="113"/>
      <c r="X32" s="113"/>
      <c r="Y32" s="114"/>
      <c r="Z32" s="109">
        <f t="shared" ref="Z32:Z34" si="0">(V32*C32)</f>
        <v>10339.199999999999</v>
      </c>
      <c r="AA32" s="110"/>
      <c r="AB32" s="111"/>
      <c r="AC32" s="78">
        <v>0</v>
      </c>
      <c r="AD32" s="80"/>
      <c r="AE32" s="109">
        <f t="shared" ref="AE32:AE34" si="1">(Z32*AC32/100)</f>
        <v>0</v>
      </c>
      <c r="AF32" s="110"/>
      <c r="AG32" s="111"/>
      <c r="AH32" s="109">
        <f t="shared" ref="AH32:AH34" si="2">(AE32+Z32)</f>
        <v>10339.199999999999</v>
      </c>
      <c r="AI32" s="110"/>
      <c r="AJ32" s="110"/>
      <c r="AK32" s="111"/>
      <c r="AL32" s="16"/>
    </row>
    <row r="33" spans="1:38" ht="16" thickBot="1" x14ac:dyDescent="0.4">
      <c r="A33" s="1"/>
      <c r="B33" s="14"/>
      <c r="C33" s="48">
        <v>36</v>
      </c>
      <c r="D33" s="49"/>
      <c r="E33" s="50"/>
      <c r="F33" s="2" t="s">
        <v>49</v>
      </c>
      <c r="G33" s="48" t="s">
        <v>50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50"/>
      <c r="V33" s="112">
        <v>234.15</v>
      </c>
      <c r="W33" s="113"/>
      <c r="X33" s="113"/>
      <c r="Y33" s="114"/>
      <c r="Z33" s="109">
        <f t="shared" si="0"/>
        <v>8429.4</v>
      </c>
      <c r="AA33" s="110"/>
      <c r="AB33" s="111"/>
      <c r="AC33" s="78">
        <v>0</v>
      </c>
      <c r="AD33" s="80"/>
      <c r="AE33" s="109">
        <f t="shared" si="1"/>
        <v>0</v>
      </c>
      <c r="AF33" s="110"/>
      <c r="AG33" s="111"/>
      <c r="AH33" s="109">
        <f t="shared" si="2"/>
        <v>8429.4</v>
      </c>
      <c r="AI33" s="110"/>
      <c r="AJ33" s="110"/>
      <c r="AK33" s="111"/>
      <c r="AL33" s="16"/>
    </row>
    <row r="34" spans="1:38" ht="16" thickBot="1" x14ac:dyDescent="0.4">
      <c r="A34" s="1"/>
      <c r="B34" s="14"/>
      <c r="C34" s="48">
        <v>36</v>
      </c>
      <c r="D34" s="49"/>
      <c r="E34" s="50"/>
      <c r="F34" s="2" t="s">
        <v>49</v>
      </c>
      <c r="G34" s="48" t="s">
        <v>51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50"/>
      <c r="V34" s="112">
        <v>116.25</v>
      </c>
      <c r="W34" s="113"/>
      <c r="X34" s="113"/>
      <c r="Y34" s="114"/>
      <c r="Z34" s="109">
        <f t="shared" si="0"/>
        <v>4185</v>
      </c>
      <c r="AA34" s="110"/>
      <c r="AB34" s="111"/>
      <c r="AC34" s="78">
        <v>0</v>
      </c>
      <c r="AD34" s="80"/>
      <c r="AE34" s="109">
        <f t="shared" si="1"/>
        <v>0</v>
      </c>
      <c r="AF34" s="110"/>
      <c r="AG34" s="111"/>
      <c r="AH34" s="109">
        <f t="shared" si="2"/>
        <v>4185</v>
      </c>
      <c r="AI34" s="110"/>
      <c r="AJ34" s="110"/>
      <c r="AK34" s="111"/>
      <c r="AL34" s="16"/>
    </row>
    <row r="35" spans="1:38" ht="16" thickBot="1" x14ac:dyDescent="0.4">
      <c r="A35" s="1"/>
      <c r="B35" s="14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1"/>
      <c r="W35" s="31"/>
      <c r="X35" s="31"/>
      <c r="Y35" s="31"/>
      <c r="Z35" s="32"/>
      <c r="AA35" s="32"/>
      <c r="AB35" s="32"/>
      <c r="AC35" s="29"/>
      <c r="AD35" s="29"/>
      <c r="AE35" s="32"/>
      <c r="AF35" s="32"/>
      <c r="AG35" s="32"/>
      <c r="AH35" s="32"/>
      <c r="AI35" s="32"/>
      <c r="AJ35" s="32"/>
      <c r="AK35" s="32"/>
      <c r="AL35" s="16"/>
    </row>
    <row r="36" spans="1:38" ht="16" thickBot="1" x14ac:dyDescent="0.4">
      <c r="A36" s="1"/>
      <c r="B36" s="14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1"/>
      <c r="W36" s="31"/>
      <c r="X36" s="31"/>
      <c r="Y36" s="31"/>
      <c r="Z36" s="32"/>
      <c r="AA36" s="32"/>
      <c r="AB36" s="32"/>
      <c r="AC36" s="46" t="s">
        <v>47</v>
      </c>
      <c r="AD36" s="67"/>
      <c r="AE36" s="67"/>
      <c r="AF36" s="67"/>
      <c r="AG36" s="47"/>
      <c r="AH36" s="115">
        <f>SUM(AH31:AH35)</f>
        <v>47390.400000000001</v>
      </c>
      <c r="AI36" s="116"/>
      <c r="AJ36" s="116"/>
      <c r="AK36" s="117"/>
      <c r="AL36" s="16"/>
    </row>
    <row r="37" spans="1:38" ht="16" thickBot="1" x14ac:dyDescent="0.4">
      <c r="A37" s="1"/>
      <c r="B37" s="1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AL37" s="16"/>
    </row>
    <row r="38" spans="1:38" ht="15.5" x14ac:dyDescent="0.35">
      <c r="A38" s="1"/>
      <c r="B38" s="14"/>
      <c r="C38" s="6" t="s">
        <v>28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7"/>
      <c r="Y38" s="7"/>
      <c r="Z38" s="7"/>
      <c r="AA38" s="7"/>
      <c r="AB38" s="7"/>
      <c r="AC38" s="7"/>
      <c r="AD38" s="7"/>
      <c r="AE38" s="7"/>
      <c r="AF38" s="5"/>
      <c r="AG38" s="5"/>
      <c r="AH38" s="5"/>
      <c r="AI38" s="5"/>
      <c r="AJ38" s="5"/>
      <c r="AK38" s="4"/>
      <c r="AL38" s="16"/>
    </row>
    <row r="39" spans="1:38" ht="15.5" x14ac:dyDescent="0.35">
      <c r="A39" s="1"/>
      <c r="B39" s="14"/>
      <c r="C39" s="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37"/>
      <c r="AF39" s="1"/>
      <c r="AG39" s="1"/>
      <c r="AH39" s="1"/>
      <c r="AI39" s="1"/>
      <c r="AJ39" s="1"/>
      <c r="AK39" s="15"/>
      <c r="AL39" s="16"/>
    </row>
    <row r="40" spans="1:38" ht="15.5" x14ac:dyDescent="0.35">
      <c r="A40" s="1"/>
      <c r="B40" s="14"/>
      <c r="C40" s="14" t="s">
        <v>67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AF40" s="1"/>
      <c r="AG40" s="1"/>
      <c r="AH40" s="1"/>
      <c r="AI40" s="1"/>
      <c r="AJ40" s="1"/>
      <c r="AK40" s="15"/>
      <c r="AL40" s="16"/>
    </row>
    <row r="41" spans="1:38" ht="15.5" x14ac:dyDescent="0.35">
      <c r="A41" s="1"/>
      <c r="B41" s="14"/>
      <c r="C41" s="1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AF41" s="1"/>
      <c r="AG41" s="1"/>
      <c r="AH41" s="1"/>
      <c r="AI41" s="1"/>
      <c r="AJ41" s="1"/>
      <c r="AK41" s="15"/>
      <c r="AL41" s="16"/>
    </row>
    <row r="42" spans="1:38" ht="15.5" x14ac:dyDescent="0.35">
      <c r="A42" s="1"/>
      <c r="B42" s="14"/>
      <c r="C42" s="14" t="s">
        <v>68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AK42" s="16"/>
      <c r="AL42" s="16"/>
    </row>
    <row r="43" spans="1:38" ht="15.5" x14ac:dyDescent="0.35">
      <c r="A43" s="1"/>
      <c r="B43" s="14"/>
      <c r="C43" s="1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AE43" s="38"/>
      <c r="AK43" s="16"/>
      <c r="AL43" s="16"/>
    </row>
    <row r="44" spans="1:38" ht="15.5" x14ac:dyDescent="0.35">
      <c r="A44" s="1"/>
      <c r="B44" s="14"/>
      <c r="C44" s="1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AK44" s="16"/>
      <c r="AL44" s="16"/>
    </row>
    <row r="45" spans="1:38" ht="16" thickBot="1" x14ac:dyDescent="0.4">
      <c r="A45" s="1"/>
      <c r="B45" s="14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3"/>
      <c r="AL45" s="16"/>
    </row>
    <row r="46" spans="1:38" ht="6" customHeight="1" thickBot="1" x14ac:dyDescent="0.4">
      <c r="A46" s="1"/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3"/>
    </row>
    <row r="47" spans="1:38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38" ht="15.5" x14ac:dyDescent="0.35">
      <c r="A48" s="1"/>
      <c r="B48" s="1"/>
      <c r="C48" s="123"/>
      <c r="D48" s="123"/>
      <c r="E48" s="123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3"/>
      <c r="T48" s="123"/>
      <c r="U48" s="123"/>
      <c r="V48" s="125"/>
      <c r="W48" s="125"/>
      <c r="X48" s="125"/>
      <c r="Y48" s="125"/>
      <c r="Z48" s="125"/>
      <c r="AA48" s="125"/>
      <c r="AB48" s="125"/>
      <c r="AC48" s="125"/>
      <c r="AD48" s="126"/>
      <c r="AE48" s="126"/>
      <c r="AF48" s="127"/>
      <c r="AG48" s="121"/>
      <c r="AH48" s="121"/>
      <c r="AI48" s="125"/>
      <c r="AJ48" s="125"/>
      <c r="AK48" s="125"/>
    </row>
    <row r="49" spans="1:37" ht="15.5" x14ac:dyDescent="0.35">
      <c r="A49" s="1"/>
      <c r="B49" s="1"/>
      <c r="C49" s="123"/>
      <c r="D49" s="123"/>
      <c r="E49" s="123"/>
      <c r="F49" s="122"/>
      <c r="G49" s="122"/>
      <c r="H49" s="122"/>
      <c r="I49" s="122"/>
      <c r="J49" s="122"/>
      <c r="K49" s="122"/>
      <c r="L49" s="121"/>
      <c r="M49" s="121"/>
      <c r="N49" s="122"/>
      <c r="O49" s="122"/>
      <c r="P49" s="122"/>
      <c r="Q49" s="122"/>
      <c r="R49" s="122"/>
      <c r="S49" s="128"/>
      <c r="T49" s="127"/>
      <c r="U49" s="121"/>
      <c r="V49" s="121"/>
      <c r="W49" s="129"/>
      <c r="X49" s="130"/>
      <c r="Y49" s="130"/>
      <c r="Z49" s="130"/>
      <c r="AA49" s="130"/>
      <c r="AB49" s="130"/>
      <c r="AC49" s="130"/>
      <c r="AD49" s="130"/>
      <c r="AE49" s="130"/>
      <c r="AF49" s="121"/>
      <c r="AG49" s="121"/>
      <c r="AH49" s="122"/>
      <c r="AI49" s="122"/>
      <c r="AJ49" s="122"/>
      <c r="AK49" s="122"/>
    </row>
    <row r="50" spans="1:37" ht="15.5" x14ac:dyDescent="0.35">
      <c r="A50" s="1"/>
      <c r="B50" s="1"/>
      <c r="C50" s="121"/>
      <c r="D50" s="121"/>
      <c r="E50" s="121"/>
      <c r="F50" s="125"/>
      <c r="G50" s="125"/>
      <c r="H50" s="125"/>
      <c r="I50" s="125"/>
      <c r="J50" s="125"/>
      <c r="K50" s="121"/>
      <c r="L50" s="121"/>
      <c r="M50" s="121"/>
      <c r="N50" s="121"/>
      <c r="O50" s="121"/>
      <c r="P50" s="121"/>
      <c r="Q50" s="131"/>
      <c r="R50" s="131"/>
      <c r="S50" s="131"/>
      <c r="T50" s="121"/>
      <c r="U50" s="121"/>
      <c r="V50" s="125"/>
      <c r="W50" s="125"/>
      <c r="X50" s="125"/>
      <c r="Y50" s="125"/>
      <c r="Z50" s="125"/>
      <c r="AA50" s="125"/>
      <c r="AB50" s="125"/>
      <c r="AC50" s="126"/>
      <c r="AD50" s="126"/>
      <c r="AE50" s="132"/>
      <c r="AF50" s="132"/>
      <c r="AG50" s="132"/>
      <c r="AH50" s="132"/>
      <c r="AI50" s="132"/>
      <c r="AJ50" s="132"/>
      <c r="AK50" s="132"/>
    </row>
    <row r="51" spans="1:37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37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37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37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37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37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37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37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37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37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37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37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37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37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5" x14ac:dyDescent="0.35">
      <c r="A203" s="1"/>
      <c r="B203" s="1"/>
    </row>
    <row r="204" spans="1:23" ht="15.5" x14ac:dyDescent="0.35">
      <c r="A204" s="1"/>
      <c r="B204" s="1"/>
    </row>
    <row r="205" spans="1:23" ht="15.5" x14ac:dyDescent="0.35">
      <c r="A205" s="1"/>
      <c r="B205" s="1"/>
    </row>
    <row r="206" spans="1:23" ht="15.5" x14ac:dyDescent="0.35">
      <c r="A206" s="1"/>
      <c r="B206" s="1"/>
    </row>
    <row r="207" spans="1:23" ht="15.5" x14ac:dyDescent="0.35">
      <c r="A207" s="1"/>
      <c r="B207" s="1"/>
    </row>
    <row r="208" spans="1:23" ht="15.5" x14ac:dyDescent="0.35">
      <c r="A208" s="1"/>
      <c r="B208" s="1"/>
    </row>
    <row r="209" spans="1:2" ht="15.5" x14ac:dyDescent="0.35">
      <c r="A209" s="1"/>
      <c r="B209" s="1"/>
    </row>
    <row r="210" spans="1:2" ht="15.5" x14ac:dyDescent="0.35">
      <c r="A210" s="1"/>
      <c r="B210" s="1"/>
    </row>
    <row r="211" spans="1:2" ht="15.5" x14ac:dyDescent="0.35">
      <c r="A211" s="1"/>
      <c r="B211" s="1"/>
    </row>
    <row r="212" spans="1:2" ht="15.5" x14ac:dyDescent="0.35">
      <c r="A212" s="1"/>
      <c r="B212" s="1"/>
    </row>
    <row r="213" spans="1:2" ht="15.5" x14ac:dyDescent="0.35">
      <c r="A213" s="1"/>
    </row>
    <row r="214" spans="1:2" ht="15.5" x14ac:dyDescent="0.35">
      <c r="A214" s="1"/>
    </row>
    <row r="215" spans="1:2" ht="15.5" x14ac:dyDescent="0.35">
      <c r="A215" s="1"/>
    </row>
    <row r="216" spans="1:2" ht="15.5" x14ac:dyDescent="0.35">
      <c r="A216" s="1"/>
    </row>
    <row r="217" spans="1:2" ht="15.5" x14ac:dyDescent="0.35">
      <c r="A217" s="1"/>
    </row>
    <row r="218" spans="1:2" ht="15.5" x14ac:dyDescent="0.35">
      <c r="A218" s="1"/>
    </row>
    <row r="219" spans="1:2" ht="15.5" x14ac:dyDescent="0.35">
      <c r="A219" s="1"/>
    </row>
  </sheetData>
  <mergeCells count="170">
    <mergeCell ref="AC36:AG36"/>
    <mergeCell ref="AH36:AK36"/>
    <mergeCell ref="AE33:AG33"/>
    <mergeCell ref="AE34:AG34"/>
    <mergeCell ref="AC31:AD31"/>
    <mergeCell ref="AC32:AD32"/>
    <mergeCell ref="AC33:AD33"/>
    <mergeCell ref="AC34:AD34"/>
    <mergeCell ref="AH31:AK31"/>
    <mergeCell ref="AH32:AK32"/>
    <mergeCell ref="AH33:AK33"/>
    <mergeCell ref="AH34:AK34"/>
    <mergeCell ref="C33:E33"/>
    <mergeCell ref="C34:E34"/>
    <mergeCell ref="V31:Y31"/>
    <mergeCell ref="V32:Y32"/>
    <mergeCell ref="V33:Y33"/>
    <mergeCell ref="V34:Y34"/>
    <mergeCell ref="Z31:AB31"/>
    <mergeCell ref="Z32:AB32"/>
    <mergeCell ref="Z33:AB33"/>
    <mergeCell ref="Z34:AB34"/>
    <mergeCell ref="G31:U31"/>
    <mergeCell ref="G32:U32"/>
    <mergeCell ref="G33:U33"/>
    <mergeCell ref="G34:U34"/>
    <mergeCell ref="C30:E30"/>
    <mergeCell ref="G30:U30"/>
    <mergeCell ref="V30:Y30"/>
    <mergeCell ref="Z30:AB30"/>
    <mergeCell ref="AC30:AD30"/>
    <mergeCell ref="AE30:AG30"/>
    <mergeCell ref="AH30:AK30"/>
    <mergeCell ref="C31:E31"/>
    <mergeCell ref="C32:E32"/>
    <mergeCell ref="AE31:AG31"/>
    <mergeCell ref="AE32:AG32"/>
    <mergeCell ref="J8:M8"/>
    <mergeCell ref="N8:R8"/>
    <mergeCell ref="U8:V8"/>
    <mergeCell ref="AC8:AE8"/>
    <mergeCell ref="F8:I8"/>
    <mergeCell ref="C7:E7"/>
    <mergeCell ref="C8:E8"/>
    <mergeCell ref="C9:E9"/>
    <mergeCell ref="S7:U7"/>
    <mergeCell ref="F9:I9"/>
    <mergeCell ref="J9:M9"/>
    <mergeCell ref="N9:R9"/>
    <mergeCell ref="C12:E12"/>
    <mergeCell ref="S12:U12"/>
    <mergeCell ref="V12:AC12"/>
    <mergeCell ref="J10:M10"/>
    <mergeCell ref="N10:R10"/>
    <mergeCell ref="S10:X10"/>
    <mergeCell ref="J11:M11"/>
    <mergeCell ref="N11:R11"/>
    <mergeCell ref="S11:X11"/>
    <mergeCell ref="C10:E10"/>
    <mergeCell ref="F12:R12"/>
    <mergeCell ref="AD12:AE12"/>
    <mergeCell ref="AG12:AH12"/>
    <mergeCell ref="AI12:AK12"/>
    <mergeCell ref="U13:V13"/>
    <mergeCell ref="W13:AB13"/>
    <mergeCell ref="AC13:AE13"/>
    <mergeCell ref="AF13:AK13"/>
    <mergeCell ref="Y11:AC11"/>
    <mergeCell ref="S9:X9"/>
    <mergeCell ref="AC9:AE9"/>
    <mergeCell ref="AF9:AK9"/>
    <mergeCell ref="C13:E13"/>
    <mergeCell ref="F13:I13"/>
    <mergeCell ref="J13:M13"/>
    <mergeCell ref="N13:R13"/>
    <mergeCell ref="C22:G22"/>
    <mergeCell ref="H22:U22"/>
    <mergeCell ref="V22:Y22"/>
    <mergeCell ref="AD16:AE16"/>
    <mergeCell ref="AG16:AH16"/>
    <mergeCell ref="C17:E17"/>
    <mergeCell ref="F17:K17"/>
    <mergeCell ref="L17:M17"/>
    <mergeCell ref="N17:R17"/>
    <mergeCell ref="U17:V17"/>
    <mergeCell ref="W17:AE17"/>
    <mergeCell ref="J14:M14"/>
    <mergeCell ref="N14:R14"/>
    <mergeCell ref="S14:X14"/>
    <mergeCell ref="Y14:AC14"/>
    <mergeCell ref="AF17:AG17"/>
    <mergeCell ref="C19:E19"/>
    <mergeCell ref="F19:I19"/>
    <mergeCell ref="J19:O19"/>
    <mergeCell ref="F18:I18"/>
    <mergeCell ref="AH17:AK17"/>
    <mergeCell ref="C20:E20"/>
    <mergeCell ref="F20:H20"/>
    <mergeCell ref="I20:M20"/>
    <mergeCell ref="N20:Q20"/>
    <mergeCell ref="R20:X20"/>
    <mergeCell ref="AH20:AK20"/>
    <mergeCell ref="AB20:AG20"/>
    <mergeCell ref="Y20:AA20"/>
    <mergeCell ref="AE18:AK18"/>
    <mergeCell ref="AC18:AD18"/>
    <mergeCell ref="V18:AB18"/>
    <mergeCell ref="T18:U18"/>
    <mergeCell ref="C18:E18"/>
    <mergeCell ref="J18:O18"/>
    <mergeCell ref="P18:S18"/>
    <mergeCell ref="C23:F23"/>
    <mergeCell ref="G23:J23"/>
    <mergeCell ref="K23:O23"/>
    <mergeCell ref="P23:S23"/>
    <mergeCell ref="C28:F28"/>
    <mergeCell ref="G28:H28"/>
    <mergeCell ref="I28:J28"/>
    <mergeCell ref="K28:L28"/>
    <mergeCell ref="M28:N28"/>
    <mergeCell ref="O28:X28"/>
    <mergeCell ref="W23:AB23"/>
    <mergeCell ref="Y28:AK28"/>
    <mergeCell ref="AC6:AJ6"/>
    <mergeCell ref="AC5:AJ5"/>
    <mergeCell ref="AD7:AJ7"/>
    <mergeCell ref="AN5:AQ5"/>
    <mergeCell ref="C26:G26"/>
    <mergeCell ref="H26:U26"/>
    <mergeCell ref="V26:Y26"/>
    <mergeCell ref="AE24:AK24"/>
    <mergeCell ref="AB24:AD24"/>
    <mergeCell ref="T24:W24"/>
    <mergeCell ref="X24:AA24"/>
    <mergeCell ref="C24:F24"/>
    <mergeCell ref="G24:S24"/>
    <mergeCell ref="Z26:AI26"/>
    <mergeCell ref="AI16:AK16"/>
    <mergeCell ref="C16:E16"/>
    <mergeCell ref="F16:R16"/>
    <mergeCell ref="S16:U16"/>
    <mergeCell ref="V16:AC16"/>
    <mergeCell ref="Z22:AI22"/>
    <mergeCell ref="T23:V23"/>
    <mergeCell ref="AF23:AI23"/>
    <mergeCell ref="AC23:AE23"/>
    <mergeCell ref="C50:E50"/>
    <mergeCell ref="F50:J50"/>
    <mergeCell ref="K50:P50"/>
    <mergeCell ref="Q50:S50"/>
    <mergeCell ref="T50:U50"/>
    <mergeCell ref="V50:AB50"/>
    <mergeCell ref="AC50:AD50"/>
    <mergeCell ref="AE50:AK50"/>
    <mergeCell ref="P19:T19"/>
    <mergeCell ref="C48:E48"/>
    <mergeCell ref="F48:R48"/>
    <mergeCell ref="S48:U48"/>
    <mergeCell ref="V48:AC48"/>
    <mergeCell ref="AD48:AE48"/>
    <mergeCell ref="AG48:AH48"/>
    <mergeCell ref="AI48:AK48"/>
    <mergeCell ref="C49:E49"/>
    <mergeCell ref="F49:K49"/>
    <mergeCell ref="L49:M49"/>
    <mergeCell ref="N49:R49"/>
    <mergeCell ref="U49:V49"/>
    <mergeCell ref="W49:AE49"/>
    <mergeCell ref="AF49:AG49"/>
    <mergeCell ref="AH49:AK49"/>
  </mergeCells>
  <hyperlinks>
    <hyperlink ref="W13" r:id="rId1" xr:uid="{E80E2489-1981-4C15-A6DA-01A54C454DE1}"/>
    <hyperlink ref="W17" r:id="rId2" xr:uid="{AC19E76A-3B2C-47DD-A208-D8DAAA36E9E0}"/>
  </hyperlinks>
  <pageMargins left="0.39370078740157483" right="0.39370078740157483" top="0.39370078740157483" bottom="0.19685039370078741" header="0.31496062992125984" footer="0.31496062992125984"/>
  <pageSetup paperSize="9" scale="80" fitToWidth="0" orientation="landscape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Fernandes Lucchese</dc:creator>
  <cp:lastModifiedBy>Marcio Fernandes Lucchese</cp:lastModifiedBy>
  <cp:lastPrinted>2025-11-25T11:42:29Z</cp:lastPrinted>
  <dcterms:created xsi:type="dcterms:W3CDTF">2025-11-24T18:07:28Z</dcterms:created>
  <dcterms:modified xsi:type="dcterms:W3CDTF">2025-12-05T12:29:42Z</dcterms:modified>
</cp:coreProperties>
</file>