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C:\Carlinhos\"/>
    </mc:Choice>
  </mc:AlternateContent>
  <xr:revisionPtr revIDLastSave="0" documentId="8_{A8CB9529-478F-438B-942B-391963FF9F88}" xr6:coauthVersionLast="47" xr6:coauthVersionMax="47" xr10:uidLastSave="{00000000-0000-0000-0000-000000000000}"/>
  <bookViews>
    <workbookView xWindow="5760" yWindow="0" windowWidth="17280" windowHeight="12240" tabRatio="788" xr2:uid="{00000000-000D-0000-FFFF-FFFF00000000}"/>
  </bookViews>
  <sheets>
    <sheet name="Nota" sheetId="19" r:id="rId1"/>
    <sheet name="Historico" sheetId="18" r:id="rId2"/>
    <sheet name="Fornecedores" sheetId="20" r:id="rId3"/>
    <sheet name="Clientes" sheetId="21" r:id="rId4"/>
  </sheets>
  <definedNames>
    <definedName name="_xlnm._FilterDatabase" localSheetId="1" hidden="1">Historico!$A$1:$S$251</definedName>
    <definedName name="ListaClientes">Clientes!$B$2</definedName>
    <definedName name="ListaFornecedores">Fornecedores!$C$2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34" i="19" l="1"/>
  <c r="BA34" i="19" s="1"/>
  <c r="P5" i="18"/>
  <c r="Q5" i="18" s="1"/>
  <c r="O5" i="18"/>
  <c r="I5" i="18"/>
  <c r="P200" i="18"/>
  <c r="Q200" i="18" s="1"/>
  <c r="O200" i="18"/>
  <c r="I200" i="18"/>
  <c r="P136" i="18"/>
  <c r="Q136" i="18" s="1"/>
  <c r="I136" i="18"/>
  <c r="P135" i="18"/>
  <c r="Q135" i="18" s="1"/>
  <c r="I135" i="18"/>
  <c r="P134" i="18"/>
  <c r="Q134" i="18" s="1"/>
  <c r="I134" i="18"/>
  <c r="P133" i="18"/>
  <c r="Q133" i="18" s="1"/>
  <c r="I133" i="18"/>
  <c r="P132" i="18"/>
  <c r="Q132" i="18" s="1"/>
  <c r="I132" i="18"/>
  <c r="P131" i="18"/>
  <c r="Q131" i="18" s="1"/>
  <c r="I131" i="18"/>
  <c r="P130" i="18"/>
  <c r="Q130" i="18" s="1"/>
  <c r="I130" i="18"/>
  <c r="P231" i="18"/>
  <c r="Q231" i="18" s="1"/>
  <c r="O231" i="18"/>
  <c r="I231" i="18"/>
  <c r="P230" i="18"/>
  <c r="Q230" i="18" s="1"/>
  <c r="O230" i="18"/>
  <c r="I230" i="18"/>
  <c r="P226" i="18"/>
  <c r="Q226" i="18" s="1"/>
  <c r="O226" i="18"/>
  <c r="I226" i="18"/>
  <c r="P223" i="18"/>
  <c r="Q223" i="18" s="1"/>
  <c r="O223" i="18"/>
  <c r="I223" i="18"/>
  <c r="P214" i="18"/>
  <c r="Q214" i="18" s="1"/>
  <c r="O214" i="18"/>
  <c r="I214" i="18"/>
  <c r="P176" i="18"/>
  <c r="O176" i="18"/>
  <c r="I176" i="18"/>
  <c r="P24" i="18"/>
  <c r="Q24" i="18" s="1"/>
  <c r="O24" i="18"/>
  <c r="P23" i="18"/>
  <c r="Q23" i="18" s="1"/>
  <c r="O23" i="18"/>
  <c r="I23" i="18"/>
  <c r="P35" i="18"/>
  <c r="Q35" i="18" s="1"/>
  <c r="O35" i="18"/>
  <c r="O199" i="18"/>
  <c r="I199" i="18"/>
  <c r="O198" i="18"/>
  <c r="I198" i="18"/>
  <c r="P197" i="18"/>
  <c r="Q197" i="18" s="1"/>
  <c r="O197" i="18"/>
  <c r="I197" i="18"/>
  <c r="P196" i="18"/>
  <c r="Q196" i="18" s="1"/>
  <c r="O196" i="18"/>
  <c r="I196" i="18"/>
  <c r="P195" i="18"/>
  <c r="O195" i="18"/>
  <c r="I195" i="18"/>
  <c r="P34" i="18"/>
  <c r="Q34" i="18" s="1"/>
  <c r="O34" i="18"/>
  <c r="P194" i="18"/>
  <c r="Q194" i="18" s="1"/>
  <c r="O194" i="18"/>
  <c r="I194" i="18"/>
  <c r="P129" i="18"/>
  <c r="Q129" i="18" s="1"/>
  <c r="O129" i="18"/>
  <c r="I129" i="18"/>
  <c r="P128" i="18"/>
  <c r="Q128" i="18" s="1"/>
  <c r="O128" i="18"/>
  <c r="I128" i="18"/>
  <c r="P127" i="18"/>
  <c r="Q127" i="18" s="1"/>
  <c r="O127" i="18"/>
  <c r="I127" i="18"/>
  <c r="P126" i="18"/>
  <c r="Q126" i="18" s="1"/>
  <c r="O126" i="18"/>
  <c r="I126" i="18"/>
  <c r="P125" i="18"/>
  <c r="Q125" i="18" s="1"/>
  <c r="O125" i="18"/>
  <c r="I125" i="18"/>
  <c r="P124" i="18"/>
  <c r="Q124" i="18" s="1"/>
  <c r="O124" i="18"/>
  <c r="I124" i="18"/>
  <c r="P123" i="18"/>
  <c r="Q123" i="18" s="1"/>
  <c r="O123" i="18"/>
  <c r="I123" i="18"/>
  <c r="O6" i="18"/>
  <c r="P193" i="18"/>
  <c r="Q193" i="18" s="1"/>
  <c r="O193" i="18"/>
  <c r="I193" i="18"/>
  <c r="P192" i="18"/>
  <c r="Q192" i="18" s="1"/>
  <c r="O192" i="18"/>
  <c r="I192" i="18"/>
  <c r="P191" i="18"/>
  <c r="Q191" i="18" s="1"/>
  <c r="O191" i="18"/>
  <c r="I191" i="18"/>
  <c r="P190" i="18"/>
  <c r="Q190" i="18" s="1"/>
  <c r="O190" i="18"/>
  <c r="I190" i="18"/>
  <c r="P22" i="18"/>
  <c r="Q22" i="18" s="1"/>
  <c r="O22" i="18"/>
  <c r="I22" i="18"/>
  <c r="P21" i="18"/>
  <c r="Q21" i="18" s="1"/>
  <c r="O21" i="18"/>
  <c r="I21" i="18"/>
  <c r="P20" i="18"/>
  <c r="Q20" i="18" s="1"/>
  <c r="O20" i="18"/>
  <c r="I20" i="18"/>
  <c r="P19" i="18"/>
  <c r="Q19" i="18" s="1"/>
  <c r="O19" i="18"/>
  <c r="I19" i="18"/>
  <c r="P18" i="18"/>
  <c r="Q18" i="18" s="1"/>
  <c r="O18" i="18"/>
  <c r="I18" i="18"/>
  <c r="P17" i="18"/>
  <c r="Q17" i="18" s="1"/>
  <c r="O17" i="18"/>
  <c r="I17" i="18"/>
  <c r="P4" i="18"/>
  <c r="Q4" i="18" s="1"/>
  <c r="O4" i="18"/>
  <c r="I4" i="18"/>
  <c r="P189" i="18"/>
  <c r="Q189" i="18" s="1"/>
  <c r="O189" i="18"/>
  <c r="P122" i="18"/>
  <c r="Q122" i="18" s="1"/>
  <c r="O122" i="18"/>
  <c r="I122" i="18"/>
  <c r="P121" i="18"/>
  <c r="Q121" i="18" s="1"/>
  <c r="O121" i="18"/>
  <c r="I121" i="18"/>
  <c r="P120" i="18"/>
  <c r="Q120" i="18" s="1"/>
  <c r="O120" i="18"/>
  <c r="I120" i="18"/>
  <c r="P119" i="18"/>
  <c r="Q119" i="18" s="1"/>
  <c r="O119" i="18"/>
  <c r="I119" i="18"/>
  <c r="P118" i="18"/>
  <c r="Q118" i="18" s="1"/>
  <c r="O118" i="18"/>
  <c r="I118" i="18"/>
  <c r="P117" i="18"/>
  <c r="Q117" i="18" s="1"/>
  <c r="O117" i="18"/>
  <c r="I117" i="18"/>
  <c r="P116" i="18"/>
  <c r="Q116" i="18" s="1"/>
  <c r="O116" i="18"/>
  <c r="I116" i="18"/>
  <c r="P33" i="18"/>
  <c r="Q33" i="18" s="1"/>
  <c r="O33" i="18"/>
  <c r="P16" i="18"/>
  <c r="Q16" i="18" s="1"/>
  <c r="O16" i="18"/>
  <c r="P15" i="18"/>
  <c r="Q15" i="18" s="1"/>
  <c r="O15" i="18"/>
  <c r="I15" i="18"/>
  <c r="P3" i="18"/>
  <c r="Q3" i="18" s="1"/>
  <c r="O3" i="18"/>
  <c r="I3" i="18"/>
  <c r="P188" i="18"/>
  <c r="Q188" i="18" s="1"/>
  <c r="O188" i="18"/>
  <c r="P115" i="18"/>
  <c r="Q115" i="18" s="1"/>
  <c r="O115" i="18"/>
  <c r="I115" i="18"/>
  <c r="P114" i="18"/>
  <c r="Q114" i="18" s="1"/>
  <c r="O114" i="18"/>
  <c r="I114" i="18"/>
  <c r="P113" i="18"/>
  <c r="Q113" i="18" s="1"/>
  <c r="O113" i="18"/>
  <c r="I113" i="18"/>
  <c r="P112" i="18"/>
  <c r="Q112" i="18" s="1"/>
  <c r="O112" i="18"/>
  <c r="I112" i="18"/>
  <c r="P111" i="18"/>
  <c r="Q111" i="18" s="1"/>
  <c r="O111" i="18"/>
  <c r="I111" i="18"/>
  <c r="P110" i="18"/>
  <c r="O110" i="18"/>
  <c r="I110" i="18"/>
  <c r="P109" i="18"/>
  <c r="Q109" i="18" s="1"/>
  <c r="O109" i="18"/>
  <c r="I109" i="18"/>
  <c r="P14" i="18"/>
  <c r="Q14" i="18" s="1"/>
  <c r="O14" i="18"/>
  <c r="P13" i="18"/>
  <c r="Q13" i="18" s="1"/>
  <c r="O13" i="18"/>
  <c r="I13" i="18"/>
  <c r="P12" i="18"/>
  <c r="Q12" i="18" s="1"/>
  <c r="O12" i="18"/>
  <c r="I12" i="18"/>
  <c r="P32" i="18"/>
  <c r="Q32" i="18" s="1"/>
  <c r="O32" i="18"/>
  <c r="P232" i="18"/>
  <c r="Q232" i="18" s="1"/>
  <c r="O232" i="18"/>
  <c r="I232" i="18"/>
  <c r="P187" i="18"/>
  <c r="Q187" i="18" s="1"/>
  <c r="O187" i="18"/>
  <c r="I187" i="18"/>
  <c r="P186" i="18"/>
  <c r="Q186" i="18" s="1"/>
  <c r="O186" i="18"/>
  <c r="I186" i="18"/>
  <c r="P185" i="18"/>
  <c r="Q185" i="18" s="1"/>
  <c r="O185" i="18"/>
  <c r="P201" i="18"/>
  <c r="Q201" i="18" s="1"/>
  <c r="O201" i="18"/>
  <c r="I201" i="18"/>
  <c r="P108" i="18"/>
  <c r="Q108" i="18" s="1"/>
  <c r="O108" i="18"/>
  <c r="I108" i="18"/>
  <c r="P107" i="18"/>
  <c r="Q107" i="18" s="1"/>
  <c r="O107" i="18"/>
  <c r="I107" i="18"/>
  <c r="P106" i="18"/>
  <c r="Q106" i="18" s="1"/>
  <c r="O106" i="18"/>
  <c r="I106" i="18"/>
  <c r="P105" i="18"/>
  <c r="Q105" i="18" s="1"/>
  <c r="O105" i="18"/>
  <c r="I105" i="18"/>
  <c r="P104" i="18"/>
  <c r="Q104" i="18" s="1"/>
  <c r="O104" i="18"/>
  <c r="I104" i="18"/>
  <c r="P103" i="18"/>
  <c r="Q103" i="18" s="1"/>
  <c r="O103" i="18"/>
  <c r="I103" i="18"/>
  <c r="P36" i="18"/>
  <c r="Q36" i="18" s="1"/>
  <c r="O36" i="18"/>
  <c r="P227" i="18"/>
  <c r="Q227" i="18" s="1"/>
  <c r="O227" i="18"/>
  <c r="I227" i="18"/>
  <c r="P224" i="18"/>
  <c r="Q224" i="18" s="1"/>
  <c r="O224" i="18"/>
  <c r="I224" i="18"/>
  <c r="P219" i="18"/>
  <c r="Q219" i="18" s="1"/>
  <c r="O219" i="18"/>
  <c r="I219" i="18"/>
  <c r="P216" i="18"/>
  <c r="Q216" i="18" s="1"/>
  <c r="O216" i="18"/>
  <c r="I216" i="18"/>
  <c r="P175" i="18"/>
  <c r="O175" i="18"/>
  <c r="I175" i="18"/>
  <c r="P139" i="18"/>
  <c r="Q139" i="18" s="1"/>
  <c r="O139" i="18"/>
  <c r="I139" i="18"/>
  <c r="P138" i="18"/>
  <c r="Q138" i="18" s="1"/>
  <c r="I138" i="18"/>
  <c r="P11" i="18"/>
  <c r="Q11" i="18" s="1"/>
  <c r="O11" i="18"/>
  <c r="I11" i="18"/>
  <c r="P7" i="18"/>
  <c r="Q7" i="18" s="1"/>
  <c r="O7" i="18"/>
  <c r="P102" i="18"/>
  <c r="Q102" i="18" s="1"/>
  <c r="O102" i="18"/>
  <c r="I102" i="18"/>
  <c r="P101" i="18"/>
  <c r="Q101" i="18" s="1"/>
  <c r="O101" i="18"/>
  <c r="I101" i="18"/>
  <c r="P100" i="18"/>
  <c r="Q100" i="18" s="1"/>
  <c r="O100" i="18"/>
  <c r="I100" i="18"/>
  <c r="P99" i="18"/>
  <c r="Q99" i="18" s="1"/>
  <c r="O99" i="18"/>
  <c r="I99" i="18"/>
  <c r="P98" i="18"/>
  <c r="Q98" i="18" s="1"/>
  <c r="O98" i="18"/>
  <c r="I98" i="18"/>
  <c r="P97" i="18"/>
  <c r="Q97" i="18" s="1"/>
  <c r="O97" i="18"/>
  <c r="I97" i="18"/>
  <c r="P96" i="18"/>
  <c r="Q96" i="18" s="1"/>
  <c r="O96" i="18"/>
  <c r="I96" i="18"/>
  <c r="P10" i="18"/>
  <c r="Q10" i="18" s="1"/>
  <c r="O10" i="18"/>
  <c r="I10" i="18"/>
  <c r="P184" i="18"/>
  <c r="Q184" i="18" s="1"/>
  <c r="O184" i="18"/>
  <c r="I184" i="18"/>
  <c r="P180" i="18"/>
  <c r="Q180" i="18" s="1"/>
  <c r="O180" i="18"/>
  <c r="P251" i="18"/>
  <c r="Q251" i="18" s="1"/>
  <c r="O251" i="18"/>
  <c r="P250" i="18"/>
  <c r="Q250" i="18" s="1"/>
  <c r="O250" i="18"/>
  <c r="P225" i="18"/>
  <c r="Q225" i="18" s="1"/>
  <c r="O225" i="18"/>
  <c r="I225" i="18"/>
  <c r="P218" i="18"/>
  <c r="Q218" i="18" s="1"/>
  <c r="O218" i="18"/>
  <c r="I218" i="18"/>
  <c r="P179" i="18"/>
  <c r="Q179" i="18" s="1"/>
  <c r="O179" i="18"/>
  <c r="I179" i="18"/>
  <c r="P178" i="18"/>
  <c r="Q178" i="18" s="1"/>
  <c r="O178" i="18"/>
  <c r="I178" i="18"/>
  <c r="P177" i="18"/>
  <c r="Q177" i="18" s="1"/>
  <c r="O177" i="18"/>
  <c r="I177" i="18"/>
  <c r="P95" i="18"/>
  <c r="Q95" i="18" s="1"/>
  <c r="O95" i="18"/>
  <c r="I95" i="18"/>
  <c r="P94" i="18"/>
  <c r="Q94" i="18" s="1"/>
  <c r="O94" i="18"/>
  <c r="I94" i="18"/>
  <c r="P93" i="18"/>
  <c r="Q93" i="18" s="1"/>
  <c r="O93" i="18"/>
  <c r="I93" i="18"/>
  <c r="P92" i="18"/>
  <c r="Q92" i="18" s="1"/>
  <c r="O92" i="18"/>
  <c r="P91" i="18"/>
  <c r="Q91" i="18" s="1"/>
  <c r="O91" i="18"/>
  <c r="P90" i="18"/>
  <c r="Q90" i="18" s="1"/>
  <c r="O90" i="18"/>
  <c r="P89" i="18"/>
  <c r="Q89" i="18" s="1"/>
  <c r="O89" i="18"/>
  <c r="P172" i="18"/>
  <c r="O172" i="18"/>
  <c r="I172" i="18"/>
  <c r="P173" i="18"/>
  <c r="O173" i="18"/>
  <c r="I173" i="18"/>
  <c r="P174" i="18"/>
  <c r="O174" i="18"/>
  <c r="I174" i="18"/>
  <c r="P171" i="18"/>
  <c r="O171" i="18"/>
  <c r="I171" i="18"/>
  <c r="P161" i="18"/>
  <c r="Q161" i="18" s="1"/>
  <c r="O161" i="18"/>
  <c r="P159" i="18"/>
  <c r="Q159" i="18" s="1"/>
  <c r="O159" i="18"/>
  <c r="I159" i="18"/>
  <c r="P31" i="18"/>
  <c r="Q31" i="18" s="1"/>
  <c r="O31" i="18"/>
  <c r="P9" i="18"/>
  <c r="Q9" i="18" s="1"/>
  <c r="O9" i="18"/>
  <c r="I9" i="18"/>
  <c r="P8" i="18"/>
  <c r="Q8" i="18" s="1"/>
  <c r="O8" i="18"/>
  <c r="I8" i="18"/>
  <c r="I170" i="18"/>
  <c r="P229" i="18"/>
  <c r="Q229" i="18" s="1"/>
  <c r="O229" i="18"/>
  <c r="P217" i="18"/>
  <c r="Q217" i="18" s="1"/>
  <c r="O217" i="18"/>
  <c r="I217" i="18"/>
  <c r="P220" i="18"/>
  <c r="Q220" i="18" s="1"/>
  <c r="O220" i="18"/>
  <c r="I220" i="18"/>
  <c r="P222" i="18"/>
  <c r="Q222" i="18" s="1"/>
  <c r="O222" i="18"/>
  <c r="P235" i="18"/>
  <c r="Q235" i="18" s="1"/>
  <c r="O235" i="18"/>
  <c r="P155" i="18"/>
  <c r="Q155" i="18" s="1"/>
  <c r="O155" i="18"/>
  <c r="P142" i="18"/>
  <c r="Q142" i="18" s="1"/>
  <c r="O142" i="18"/>
  <c r="P151" i="18"/>
  <c r="Q151" i="18" s="1"/>
  <c r="O151" i="18"/>
  <c r="P164" i="18"/>
  <c r="Q164" i="18" s="1"/>
  <c r="O164" i="18"/>
  <c r="P249" i="18"/>
  <c r="Q249" i="18" s="1"/>
  <c r="O249" i="18"/>
  <c r="P248" i="18"/>
  <c r="Q248" i="18" s="1"/>
  <c r="O248" i="18"/>
  <c r="I248" i="18"/>
  <c r="P88" i="18"/>
  <c r="Q88" i="18" s="1"/>
  <c r="O88" i="18"/>
  <c r="I88" i="18"/>
  <c r="P87" i="18"/>
  <c r="Q87" i="18" s="1"/>
  <c r="O87" i="18"/>
  <c r="I87" i="18"/>
  <c r="P86" i="18"/>
  <c r="Q86" i="18" s="1"/>
  <c r="O86" i="18"/>
  <c r="I86" i="18"/>
  <c r="P85" i="18"/>
  <c r="Q85" i="18" s="1"/>
  <c r="O85" i="18"/>
  <c r="I85" i="18"/>
  <c r="P84" i="18"/>
  <c r="Q84" i="18" s="1"/>
  <c r="O84" i="18"/>
  <c r="I84" i="18"/>
  <c r="P83" i="18"/>
  <c r="Q83" i="18" s="1"/>
  <c r="O83" i="18"/>
  <c r="I83" i="18"/>
  <c r="P168" i="18"/>
  <c r="Q168" i="18" s="1"/>
  <c r="O168" i="18"/>
  <c r="P160" i="18"/>
  <c r="Q160" i="18" s="1"/>
  <c r="O160" i="18"/>
  <c r="I160" i="18"/>
  <c r="P167" i="18"/>
  <c r="Q167" i="18" s="1"/>
  <c r="O167" i="18"/>
  <c r="P169" i="18"/>
  <c r="P166" i="18"/>
  <c r="Q166" i="18" s="1"/>
  <c r="O166" i="18"/>
  <c r="P165" i="18"/>
  <c r="Q165" i="18" s="1"/>
  <c r="O165" i="18"/>
  <c r="I165" i="18"/>
  <c r="P157" i="18"/>
  <c r="Q157" i="18" s="1"/>
  <c r="O157" i="18"/>
  <c r="P158" i="18"/>
  <c r="Q158" i="18" s="1"/>
  <c r="O158" i="18"/>
  <c r="P143" i="18"/>
  <c r="Q143" i="18" s="1"/>
  <c r="O143" i="18"/>
  <c r="I143" i="18"/>
  <c r="P228" i="18"/>
  <c r="Q228" i="18" s="1"/>
  <c r="O228" i="18"/>
  <c r="I228" i="18"/>
  <c r="P215" i="18"/>
  <c r="Q215" i="18" s="1"/>
  <c r="O215" i="18"/>
  <c r="I215" i="18"/>
  <c r="P221" i="18"/>
  <c r="Q221" i="18" s="1"/>
  <c r="O221" i="18"/>
  <c r="P210" i="18"/>
  <c r="Q210" i="18" s="1"/>
  <c r="O210" i="18"/>
  <c r="P82" i="18"/>
  <c r="Q82" i="18" s="1"/>
  <c r="O82" i="18"/>
  <c r="P81" i="18"/>
  <c r="Q81" i="18" s="1"/>
  <c r="O81" i="18"/>
  <c r="P80" i="18"/>
  <c r="Q80" i="18" s="1"/>
  <c r="O80" i="18"/>
  <c r="P79" i="18"/>
  <c r="Q79" i="18" s="1"/>
  <c r="O79" i="18"/>
  <c r="P78" i="18"/>
  <c r="Q78" i="18" s="1"/>
  <c r="O78" i="18"/>
  <c r="P77" i="18"/>
  <c r="Q77" i="18" s="1"/>
  <c r="O77" i="18"/>
  <c r="P76" i="18"/>
  <c r="Q76" i="18" s="1"/>
  <c r="O76" i="18"/>
  <c r="P75" i="18"/>
  <c r="Q75" i="18" s="1"/>
  <c r="O75" i="18"/>
  <c r="P73" i="18"/>
  <c r="Q73" i="18" s="1"/>
  <c r="O73" i="18"/>
  <c r="I73" i="18"/>
  <c r="P74" i="18"/>
  <c r="Q74" i="18" s="1"/>
  <c r="O74" i="18"/>
  <c r="P72" i="18"/>
  <c r="Q72" i="18" s="1"/>
  <c r="O72" i="18"/>
  <c r="P70" i="18"/>
  <c r="Q70" i="18" s="1"/>
  <c r="O70" i="18"/>
  <c r="P71" i="18"/>
  <c r="Q71" i="18" s="1"/>
  <c r="O71" i="18"/>
  <c r="P68" i="18"/>
  <c r="Q68" i="18" s="1"/>
  <c r="O68" i="18"/>
  <c r="P69" i="18"/>
  <c r="Q69" i="18" s="1"/>
  <c r="O69" i="18"/>
  <c r="P67" i="18"/>
  <c r="Q67" i="18" s="1"/>
  <c r="O67" i="18"/>
  <c r="P156" i="18"/>
  <c r="Q156" i="18" s="1"/>
  <c r="O156" i="18"/>
  <c r="P150" i="18"/>
  <c r="Q150" i="18" s="1"/>
  <c r="O150" i="18"/>
  <c r="P233" i="18"/>
  <c r="Q233" i="18" s="1"/>
  <c r="O233" i="18"/>
  <c r="P234" i="18"/>
  <c r="Q234" i="18" s="1"/>
  <c r="O234" i="18"/>
  <c r="P66" i="18"/>
  <c r="Q66" i="18" s="1"/>
  <c r="O66" i="18"/>
  <c r="P65" i="18"/>
  <c r="Q65" i="18" s="1"/>
  <c r="O65" i="18"/>
  <c r="I65" i="18"/>
  <c r="P64" i="18"/>
  <c r="Q64" i="18" s="1"/>
  <c r="O64" i="18"/>
  <c r="P63" i="18"/>
  <c r="Q63" i="18" s="1"/>
  <c r="O63" i="18"/>
  <c r="P61" i="18"/>
  <c r="Q61" i="18" s="1"/>
  <c r="O61" i="18"/>
  <c r="P62" i="18"/>
  <c r="Q62" i="18" s="1"/>
  <c r="O62" i="18"/>
  <c r="P59" i="18"/>
  <c r="Q59" i="18" s="1"/>
  <c r="O59" i="18"/>
  <c r="P60" i="18"/>
  <c r="Q60" i="18" s="1"/>
  <c r="O60" i="18"/>
  <c r="P242" i="18"/>
  <c r="Q242" i="18" s="1"/>
  <c r="O242" i="18"/>
  <c r="P30" i="18"/>
  <c r="Q30" i="18" s="1"/>
  <c r="O30" i="18"/>
  <c r="P29" i="18"/>
  <c r="Q29" i="18" s="1"/>
  <c r="O29" i="18"/>
  <c r="P246" i="18"/>
  <c r="Q246" i="18" s="1"/>
  <c r="O246" i="18"/>
  <c r="P247" i="18"/>
  <c r="Q247" i="18" s="1"/>
  <c r="O247" i="18"/>
  <c r="O238" i="18"/>
  <c r="P162" i="18"/>
  <c r="Q162" i="18" s="1"/>
  <c r="O162" i="18"/>
  <c r="P141" i="18"/>
  <c r="Q141" i="18" s="1"/>
  <c r="O141" i="18"/>
  <c r="I141" i="18"/>
  <c r="P152" i="18"/>
  <c r="O152" i="18"/>
  <c r="P243" i="18"/>
  <c r="Q243" i="18" s="1"/>
  <c r="O243" i="18"/>
  <c r="P57" i="18"/>
  <c r="Q57" i="18" s="1"/>
  <c r="O57" i="18"/>
  <c r="P52" i="18"/>
  <c r="Q52" i="18" s="1"/>
  <c r="O52" i="18"/>
  <c r="P27" i="18"/>
  <c r="O27" i="18"/>
  <c r="I27" i="18"/>
  <c r="P245" i="18"/>
  <c r="Q245" i="18" s="1"/>
  <c r="O245" i="18"/>
  <c r="P58" i="18"/>
  <c r="Q58" i="18" s="1"/>
  <c r="O58" i="18"/>
  <c r="P56" i="18"/>
  <c r="Q56" i="18" s="1"/>
  <c r="O56" i="18"/>
  <c r="I56" i="18"/>
  <c r="P55" i="18"/>
  <c r="Q55" i="18" s="1"/>
  <c r="O55" i="18"/>
  <c r="P54" i="18"/>
  <c r="Q54" i="18" s="1"/>
  <c r="O54" i="18"/>
  <c r="P53" i="18"/>
  <c r="Q53" i="18" s="1"/>
  <c r="O53" i="18"/>
  <c r="P51" i="18"/>
  <c r="Q51" i="18" s="1"/>
  <c r="O51" i="18"/>
  <c r="P213" i="18"/>
  <c r="Q213" i="18" s="1"/>
  <c r="O213" i="18"/>
  <c r="P211" i="18"/>
  <c r="Q211" i="18" s="1"/>
  <c r="O211" i="18"/>
  <c r="P212" i="18"/>
  <c r="Q212" i="18" s="1"/>
  <c r="O212" i="18"/>
  <c r="P206" i="18"/>
  <c r="Q206" i="18" s="1"/>
  <c r="O206" i="18"/>
  <c r="P154" i="18"/>
  <c r="Q154" i="18" s="1"/>
  <c r="O154" i="18"/>
  <c r="P153" i="18"/>
  <c r="Q153" i="18" s="1"/>
  <c r="O153" i="18"/>
  <c r="P149" i="18"/>
  <c r="Q149" i="18" s="1"/>
  <c r="O149" i="18"/>
  <c r="P25" i="18"/>
  <c r="O25" i="18"/>
  <c r="I25" i="18"/>
  <c r="P50" i="18"/>
  <c r="Q50" i="18" s="1"/>
  <c r="O50" i="18"/>
  <c r="P49" i="18"/>
  <c r="Q49" i="18" s="1"/>
  <c r="O49" i="18"/>
  <c r="I49" i="18"/>
  <c r="P48" i="18"/>
  <c r="Q48" i="18" s="1"/>
  <c r="O48" i="18"/>
  <c r="P47" i="18"/>
  <c r="Q47" i="18" s="1"/>
  <c r="O47" i="18"/>
  <c r="P46" i="18"/>
  <c r="Q46" i="18" s="1"/>
  <c r="O46" i="18"/>
  <c r="P40" i="18"/>
  <c r="Q40" i="18" s="1"/>
  <c r="O40" i="18"/>
  <c r="I40" i="18"/>
  <c r="P240" i="18"/>
  <c r="Q240" i="18" s="1"/>
  <c r="O240" i="18"/>
  <c r="I240" i="18"/>
  <c r="P239" i="18"/>
  <c r="Q239" i="18" s="1"/>
  <c r="O239" i="18"/>
  <c r="P237" i="18"/>
  <c r="Q237" i="18" s="1"/>
  <c r="O237" i="18"/>
  <c r="P26" i="18"/>
  <c r="Q26" i="18" s="1"/>
  <c r="O26" i="18"/>
  <c r="P148" i="18"/>
  <c r="Q148" i="18" s="1"/>
  <c r="O148" i="18"/>
  <c r="O140" i="18"/>
  <c r="P28" i="18"/>
  <c r="Q28" i="18" s="1"/>
  <c r="O28" i="18"/>
  <c r="P209" i="18"/>
  <c r="Q209" i="18" s="1"/>
  <c r="O209" i="18"/>
  <c r="P208" i="18"/>
  <c r="Q208" i="18" s="1"/>
  <c r="O208" i="18"/>
  <c r="P207" i="18"/>
  <c r="Q207" i="18" s="1"/>
  <c r="O207" i="18"/>
  <c r="P244" i="18"/>
  <c r="Q244" i="18" s="1"/>
  <c r="O244" i="18"/>
  <c r="P147" i="18"/>
  <c r="Q147" i="18" s="1"/>
  <c r="O147" i="18"/>
  <c r="P146" i="18"/>
  <c r="O146" i="18"/>
  <c r="P45" i="18"/>
  <c r="Q45" i="18" s="1"/>
  <c r="O45" i="18"/>
  <c r="P44" i="18"/>
  <c r="Q44" i="18" s="1"/>
  <c r="O44" i="18"/>
  <c r="I44" i="18"/>
  <c r="P43" i="18"/>
  <c r="Q43" i="18" s="1"/>
  <c r="O43" i="18"/>
  <c r="P42" i="18"/>
  <c r="Q42" i="18" s="1"/>
  <c r="O42" i="18"/>
  <c r="P41" i="18"/>
  <c r="Q41" i="18" s="1"/>
  <c r="O41" i="18"/>
  <c r="I41" i="18"/>
  <c r="P39" i="18"/>
  <c r="Q39" i="18" s="1"/>
  <c r="O39" i="18"/>
  <c r="P38" i="18"/>
  <c r="Q38" i="18" s="1"/>
  <c r="O38" i="18"/>
  <c r="P37" i="18"/>
  <c r="Q37" i="18" s="1"/>
  <c r="O37" i="18"/>
  <c r="P241" i="18"/>
  <c r="Q241" i="18" s="1"/>
  <c r="O241" i="18"/>
  <c r="I241" i="18"/>
  <c r="P236" i="18"/>
  <c r="Q236" i="18" s="1"/>
  <c r="O236" i="18"/>
  <c r="P145" i="18"/>
  <c r="Q145" i="18" s="1"/>
  <c r="O145" i="18"/>
  <c r="P144" i="18"/>
  <c r="Q144" i="18" s="1"/>
  <c r="O144" i="18"/>
  <c r="P205" i="18"/>
  <c r="Q205" i="18" s="1"/>
  <c r="O205" i="18"/>
  <c r="P204" i="18"/>
  <c r="Q204" i="18" s="1"/>
  <c r="O204" i="18"/>
  <c r="P203" i="18"/>
  <c r="Q203" i="18" s="1"/>
  <c r="O203" i="18"/>
  <c r="P202" i="18"/>
  <c r="O202" i="18"/>
  <c r="Q171" i="18" l="1"/>
  <c r="Q152" i="18"/>
  <c r="Q202" i="18"/>
  <c r="Q146" i="18"/>
  <c r="Q110" i="18"/>
  <c r="Q195" i="18"/>
</calcChain>
</file>

<file path=xl/sharedStrings.xml><?xml version="1.0" encoding="utf-8"?>
<sst xmlns="http://schemas.openxmlformats.org/spreadsheetml/2006/main" count="1564" uniqueCount="192">
  <si>
    <t>VALOR</t>
  </si>
  <si>
    <t>CLIENTE</t>
  </si>
  <si>
    <t>PRODUTO</t>
  </si>
  <si>
    <t>PAGO</t>
  </si>
  <si>
    <t>PEDIDO</t>
  </si>
  <si>
    <t>QUANT</t>
  </si>
  <si>
    <t>UND</t>
  </si>
  <si>
    <t>SALDO</t>
  </si>
  <si>
    <t>OBSERVAÇÃO</t>
  </si>
  <si>
    <t>MIL</t>
  </si>
  <si>
    <t>E-MAIL</t>
  </si>
  <si>
    <t>CANCELADO</t>
  </si>
  <si>
    <t>VERBAL</t>
  </si>
  <si>
    <t>BIANCHI</t>
  </si>
  <si>
    <t>GO GREEN</t>
  </si>
  <si>
    <t>LUIZ BIANCHI</t>
  </si>
  <si>
    <t>KORIN</t>
  </si>
  <si>
    <t>HORTA VITAE</t>
  </si>
  <si>
    <t>WHATSAPP</t>
  </si>
  <si>
    <t>ROZENDO</t>
  </si>
  <si>
    <t>FORNECEDOR</t>
  </si>
  <si>
    <t>GRANJA ITU</t>
  </si>
  <si>
    <t>NF</t>
  </si>
  <si>
    <t xml:space="preserve">BANDEJA OVO GALINHA 10 UND SRG C10 </t>
  </si>
  <si>
    <t>C</t>
  </si>
  <si>
    <t>SHUICHI NISHIOKA</t>
  </si>
  <si>
    <t xml:space="preserve">BANDEJA OVO CODORNA SRC 01 </t>
  </si>
  <si>
    <t xml:space="preserve">TAMPA OVO GALINHA SRM 20 TO </t>
  </si>
  <si>
    <t>RAIAR</t>
  </si>
  <si>
    <t>WTSAPP</t>
  </si>
  <si>
    <t>BANDEJA OVO GALINHA SRG 20</t>
  </si>
  <si>
    <t>CAIXAS</t>
  </si>
  <si>
    <t>SALDO CANCELADO</t>
  </si>
  <si>
    <t>EMB. P/  MAMÃO PAPAIA</t>
  </si>
  <si>
    <t>BANDEJA OVO GALINHA SRG C10 (SOBREPOSIÇÃO DE TAMPA)</t>
  </si>
  <si>
    <t xml:space="preserve">CUMBUCA FRUTAS - MA 15  </t>
  </si>
  <si>
    <t>GRANJA HIGASHI</t>
  </si>
  <si>
    <t>TAMPA OVO GALINHA 30 UNIDADES -  SRB 30</t>
  </si>
  <si>
    <t>BANDEJA OVO GALINHA SRG 10</t>
  </si>
  <si>
    <t>BANDEJA OVO GALINHA 20 UND - RAIAR - OVO PEQUENO</t>
  </si>
  <si>
    <t>TAMPA OVO GALINHA 30 UND - NELSON YABUTA</t>
  </si>
  <si>
    <t>TAMPA OVO GALINHA 20 UND PEQUENA - NELSON YABUTA</t>
  </si>
  <si>
    <t>TAMPA OVO GALINHA 20 UND PEQUENA - GRANJA BASTOS</t>
  </si>
  <si>
    <t>YABUTA</t>
  </si>
  <si>
    <t>BANDEJA OVO GALINHA 20 UND - SRG 20 - RAIAR - NATURAL TERRA</t>
  </si>
  <si>
    <t xml:space="preserve">BANDEJA OVO GALINHA 10 UND - HORTA VITAE </t>
  </si>
  <si>
    <t xml:space="preserve">BANDEJA OVO GALINHA 12 UND - HORTA VITAE </t>
  </si>
  <si>
    <t xml:space="preserve">BANDEJA OVO GALINHA 6 UND - DUPLA - HORTA VITAE </t>
  </si>
  <si>
    <t xml:space="preserve">BANDEJA OVO CODORNA 30 UND - HORTA VITAE </t>
  </si>
  <si>
    <t>BANDEJA OVO GALINHA 20 UND - OBA BEM QUERER - HORTA VITAE</t>
  </si>
  <si>
    <t>BANDEJA OVO GALINHA 20 UND - ITO COUTRY - HORTA VITAE</t>
  </si>
  <si>
    <t>BANDEJA OVO GALINHA 20 UND - NATURAL DA TERRA - HORTA VITAE</t>
  </si>
  <si>
    <t xml:space="preserve">BANDEJA OVO GALINHA 10 UND - ROZENDO </t>
  </si>
  <si>
    <t xml:space="preserve">BANDEJA OVO GALINHA 12 UND - ROZENDO </t>
  </si>
  <si>
    <t xml:space="preserve">BANDEJA OVO GALINHA 20 UND - ROZENDO </t>
  </si>
  <si>
    <t>BANDEJA OVO GALINHA 20 UND - OVO GRANDE - RAIAR</t>
  </si>
  <si>
    <t>TAMPA OVO GALINHA 20 UND PEQUENA - GRANJA YABUTA BASTOS</t>
  </si>
  <si>
    <t>TAMPA OVO GALINHA 20 UND PEQUENA - FAZENDA CARU - YABUTA</t>
  </si>
  <si>
    <t>BANDEJA OVO CODORNA 30 UND - SRC01</t>
  </si>
  <si>
    <t>BANDEJA OVO GALINHA 20 UND - RAIAR - SAM´S CLUB</t>
  </si>
  <si>
    <t>BANDEJA OVO GALINHA 20 UND - SAM´S CLUB - RAIAR</t>
  </si>
  <si>
    <t>BANDEJA OVO GALINHA 20 UND - OBA BEM QUERER - RAIAR</t>
  </si>
  <si>
    <t>CANCELADO SALDO</t>
  </si>
  <si>
    <t>TAMPA OVO GALINHA 30 UND - SRB30</t>
  </si>
  <si>
    <t xml:space="preserve">TAMPA OVO GALINHA 20 UND -  PEQUENA </t>
  </si>
  <si>
    <t>BANDEJA OVO GALINHA 30 UND - OVO MEDIO - RAIAR</t>
  </si>
  <si>
    <t>BANDEJA OVO GALINHA 20 UND - OVO PEQUENO - RAIAR</t>
  </si>
  <si>
    <t>TAMPA OVO GALINHA 20 UNIDADES -  GRANDE - RAIAR</t>
  </si>
  <si>
    <t xml:space="preserve">BANDEJA OVO GALINHA 30 UND - ROZENDO </t>
  </si>
  <si>
    <t>BANDEJA OVO GALINHA 30 UND - OVO GRANDE - RAIAR</t>
  </si>
  <si>
    <t>21/05/205</t>
  </si>
  <si>
    <t>GRANJA FARIA</t>
  </si>
  <si>
    <t>BANDEJA OVO GALINHA 20 UND - TAEQ PÃO DE AÇUCAR - OVO GRANDE</t>
  </si>
  <si>
    <t>BANDEJA OVO GALINHA 20 UND - OVO GRANDE - BENASSI</t>
  </si>
  <si>
    <t xml:space="preserve">CUMBUCA MORANGUINHOS - MA 16 </t>
  </si>
  <si>
    <t>WATSAPP</t>
  </si>
  <si>
    <t>BANDEJA OVO GALINHA SRG  C10 - FECHAMENTO POR SOBREPOSIÇÃO TAMPA</t>
  </si>
  <si>
    <t>KATAYAMA</t>
  </si>
  <si>
    <t>CITRICOLA LUCATO</t>
  </si>
  <si>
    <t>BANDEJA OVO GALINHA 20 UND - SITIO VERDE HORTIFRUTI - OVO GRANDE</t>
  </si>
  <si>
    <t>GRANJA ITÚ</t>
  </si>
  <si>
    <t>1-808,50</t>
  </si>
  <si>
    <t>iabuta</t>
  </si>
  <si>
    <t>SERRAPLAST TRANSFORMAÇÃO E COMERCIO DE PLÁSTICOS LTDA.</t>
  </si>
  <si>
    <t>OC DO CLIENTE</t>
  </si>
  <si>
    <t>DATA DO PEDIDO</t>
  </si>
  <si>
    <t>PREÇO POR UNIDADE</t>
  </si>
  <si>
    <t>DATA DE ENTREGA</t>
  </si>
  <si>
    <t>DATA DE FATURA</t>
  </si>
  <si>
    <t>VALOR DA COMISSÃO</t>
  </si>
  <si>
    <t xml:space="preserve"> Representante</t>
  </si>
  <si>
    <t xml:space="preserve">        M F LUCCHESE ASSESSORIA E CONSULTORIA  EMPRESARIAL LTDA.</t>
  </si>
  <si>
    <t xml:space="preserve"> MARCIO FERNANDES LUCCHESE</t>
  </si>
  <si>
    <t xml:space="preserve">             SÃO PAULO - SP</t>
  </si>
  <si>
    <t>CEL.</t>
  </si>
  <si>
    <t xml:space="preserve">         11 94972-4778</t>
  </si>
  <si>
    <t xml:space="preserve">      TEL.</t>
  </si>
  <si>
    <t xml:space="preserve">  11 2386-4257</t>
  </si>
  <si>
    <t xml:space="preserve">    ENDEREÇO</t>
  </si>
  <si>
    <t>RUA PAULO HENRIQUE BROERING</t>
  </si>
  <si>
    <t xml:space="preserve"> CEP</t>
  </si>
  <si>
    <t>88509-550</t>
  </si>
  <si>
    <t xml:space="preserve"> CAIXA POSTAL</t>
  </si>
  <si>
    <t xml:space="preserve"> BAIRRO</t>
  </si>
  <si>
    <t>CORAL</t>
  </si>
  <si>
    <t xml:space="preserve">  CIDADE</t>
  </si>
  <si>
    <t>LAGES</t>
  </si>
  <si>
    <t xml:space="preserve"> UF</t>
  </si>
  <si>
    <t>TELEFONE</t>
  </si>
  <si>
    <t xml:space="preserve"> 49 3224-0101</t>
  </si>
  <si>
    <t>CNPJ</t>
  </si>
  <si>
    <t xml:space="preserve">         INSCRIÇÃO ESTADUAL</t>
  </si>
  <si>
    <t xml:space="preserve">  E-MAIL</t>
  </si>
  <si>
    <t xml:space="preserve">  Nº</t>
  </si>
  <si>
    <t>13309-036</t>
  </si>
  <si>
    <t xml:space="preserve">      BAIRRO</t>
  </si>
  <si>
    <t xml:space="preserve">      UF</t>
  </si>
  <si>
    <t xml:space="preserve">    TELEFONE</t>
  </si>
  <si>
    <t xml:space="preserve">         CONTATO</t>
  </si>
  <si>
    <t xml:space="preserve">          E-MAIL</t>
  </si>
  <si>
    <t xml:space="preserve">         CNPJ</t>
  </si>
  <si>
    <t xml:space="preserve">       INSCRIÇÃO ESTADUAL</t>
  </si>
  <si>
    <t xml:space="preserve">      E-MAIL XML</t>
  </si>
  <si>
    <r>
      <t xml:space="preserve">                </t>
    </r>
    <r>
      <rPr>
        <b/>
        <sz val="11"/>
        <color theme="1"/>
        <rFont val="Arial"/>
        <family val="2"/>
      </rPr>
      <t xml:space="preserve"> 24/09/2025</t>
    </r>
  </si>
  <si>
    <t xml:space="preserve">    LOCAL DE ENTREGA</t>
  </si>
  <si>
    <t xml:space="preserve">   O MESMO</t>
  </si>
  <si>
    <t xml:space="preserve">  ENDEREÇO DE ENTREGA</t>
  </si>
  <si>
    <t xml:space="preserve">   CIDADE</t>
  </si>
  <si>
    <t xml:space="preserve">       UF</t>
  </si>
  <si>
    <t xml:space="preserve">  CNPJ</t>
  </si>
  <si>
    <t>INSCRIÇÃO ESTADUAL</t>
  </si>
  <si>
    <t xml:space="preserve">   CEP</t>
  </si>
  <si>
    <t xml:space="preserve">         TELEFONE</t>
  </si>
  <si>
    <t xml:space="preserve">  ENDEREÇO DE COBRANÇA</t>
  </si>
  <si>
    <t xml:space="preserve">   ACIMA</t>
  </si>
  <si>
    <t>CIDADE</t>
  </si>
  <si>
    <t xml:space="preserve">        UF</t>
  </si>
  <si>
    <t xml:space="preserve">   TRANSPORTADORA</t>
  </si>
  <si>
    <t xml:space="preserve">  TELEFONE</t>
  </si>
  <si>
    <t xml:space="preserve">      CONTATO</t>
  </si>
  <si>
    <t xml:space="preserve">   FRETE</t>
  </si>
  <si>
    <t>CIF</t>
  </si>
  <si>
    <t xml:space="preserve">   X</t>
  </si>
  <si>
    <t>FOB</t>
  </si>
  <si>
    <t xml:space="preserve">    CONDIÇÃO DE PAGAMENTO</t>
  </si>
  <si>
    <t>30/45 DIAS DA DATA DE FATURAMENTO, LÍQUIDO</t>
  </si>
  <si>
    <t>CÓDIGO</t>
  </si>
  <si>
    <t>PESO (KG)</t>
  </si>
  <si>
    <t xml:space="preserve"> VALOR LÍQUIDO (R$)</t>
  </si>
  <si>
    <t>IPI</t>
  </si>
  <si>
    <t>Fornecedor</t>
  </si>
  <si>
    <t>Logo</t>
  </si>
  <si>
    <t>Identificação</t>
  </si>
  <si>
    <t>ENDEREÇO</t>
  </si>
  <si>
    <t>Nº</t>
  </si>
  <si>
    <t>CEP</t>
  </si>
  <si>
    <t>CAIXA POSTAL</t>
  </si>
  <si>
    <t>BAIRRO</t>
  </si>
  <si>
    <t>UF</t>
  </si>
  <si>
    <t>SC</t>
  </si>
  <si>
    <t>04.753.929/0002-23</t>
  </si>
  <si>
    <t>comercial@serraplast.com.br</t>
  </si>
  <si>
    <t>CONTATO</t>
  </si>
  <si>
    <t>E-MAIL XML</t>
  </si>
  <si>
    <t>RUA LUIZ GONZAGA BICUDO</t>
  </si>
  <si>
    <t>VILA NOVA</t>
  </si>
  <si>
    <t>ITU</t>
  </si>
  <si>
    <t>SP</t>
  </si>
  <si>
    <t>11 4813-3154</t>
  </si>
  <si>
    <t>ROBERTO DE PAULA VITOR</t>
  </si>
  <si>
    <t>adm@granjaitu.com.br</t>
  </si>
  <si>
    <t>38.439.131/0001-42</t>
  </si>
  <si>
    <t>SerraPlast.jpg</t>
  </si>
  <si>
    <t>Clientes:</t>
  </si>
  <si>
    <t>Fornecedores:</t>
  </si>
  <si>
    <t>ACIMA</t>
  </si>
  <si>
    <t>Pedido</t>
  </si>
  <si>
    <t xml:space="preserve">  PEDIDO Nº</t>
  </si>
  <si>
    <t xml:space="preserve">  DATA DO PEDIDO</t>
  </si>
  <si>
    <t xml:space="preserve">  O.C. DO CLIENTE</t>
  </si>
  <si>
    <t xml:space="preserve">   DATA DE ENTREGA NO CLIENTE</t>
  </si>
  <si>
    <t xml:space="preserve">                     PRODUTO</t>
  </si>
  <si>
    <t xml:space="preserve"> QUANT. CAIXAS</t>
  </si>
  <si>
    <t>QUANTIDADE</t>
  </si>
  <si>
    <t>PREÇO UNIT. (R$)</t>
  </si>
  <si>
    <t>VALOR TOTAL (R$)</t>
  </si>
  <si>
    <t>OBSERVAÇÕES:</t>
  </si>
  <si>
    <t xml:space="preserve"> FORNECEDOR</t>
  </si>
  <si>
    <t xml:space="preserve">      CLIENTE</t>
  </si>
  <si>
    <t>Código</t>
  </si>
  <si>
    <t>Peso</t>
  </si>
  <si>
    <t>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</si>
</sst>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#,##0.0"/>
    <numFmt numFmtId="166" formatCode="[$R$-416]&quot; &quot;#,##0.00;[Red]&quot;-&quot;[$R$-416]&quot; &quot;#,##0.00"/>
    <numFmt numFmtId="167" formatCode="#,##0.000"/>
  </numFmts>
  <fonts count="46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i/>
      <sz val="16"/>
      <color rgb="FF000000"/>
      <name val="Calibri"/>
      <family val="2"/>
    </font>
    <font>
      <sz val="10"/>
      <color rgb="FF000000"/>
      <name val="Arial"/>
      <family val="2"/>
    </font>
    <font>
      <b/>
      <i/>
      <u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  <font>
      <sz val="11"/>
      <color rgb="FFFF0000"/>
      <name val="Calibri"/>
      <family val="2"/>
    </font>
    <font>
      <sz val="10"/>
      <color rgb="FFFF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1"/>
      <color rgb="FF00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1"/>
      <name val="Calibri"/>
      <family val="2"/>
    </font>
    <font>
      <b/>
      <sz val="10"/>
      <color rgb="FF0070C0"/>
      <name val="Arial"/>
      <family val="2"/>
    </font>
    <font>
      <sz val="11"/>
      <color rgb="FF000000"/>
      <name val="Arial"/>
      <family val="2"/>
    </font>
    <font>
      <sz val="11"/>
      <color rgb="FFFF0000"/>
      <name val="Arial"/>
      <family val="2"/>
    </font>
    <font>
      <sz val="11"/>
      <color rgb="FF0070C0"/>
      <name val="Calibri"/>
      <family val="2"/>
    </font>
    <font>
      <b/>
      <sz val="9"/>
      <color theme="4"/>
      <name val="Arial"/>
      <family val="2"/>
    </font>
    <font>
      <sz val="11"/>
      <color theme="1"/>
      <name val="Calibri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11"/>
      <color rgb="FF0070C0"/>
      <name val="Arial"/>
      <family val="2"/>
    </font>
    <font>
      <b/>
      <sz val="10"/>
      <color theme="4"/>
      <name val="Arial"/>
      <family val="2"/>
    </font>
    <font>
      <b/>
      <sz val="11"/>
      <color theme="1"/>
      <name val="Arial"/>
      <family val="2"/>
    </font>
    <font>
      <sz val="11"/>
      <color rgb="FF0070C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0"/>
      <color theme="4"/>
      <name val="Arial"/>
      <family val="2"/>
    </font>
    <font>
      <sz val="10"/>
      <color rgb="FF0070C0"/>
      <name val="Arial"/>
      <family val="2"/>
    </font>
    <font>
      <sz val="11"/>
      <color theme="4"/>
      <name val="Arial"/>
      <family val="2"/>
    </font>
    <font>
      <sz val="10"/>
      <color theme="1"/>
      <name val="Arial"/>
      <family val="2"/>
    </font>
    <font>
      <sz val="9"/>
      <name val="Arial"/>
      <family val="2"/>
    </font>
    <font>
      <sz val="10"/>
      <color theme="3" tint="0.39997558519241921"/>
      <name val="Arial"/>
      <family val="2"/>
    </font>
    <font>
      <sz val="9"/>
      <color theme="1"/>
      <name val="Arial"/>
      <family val="2"/>
    </font>
    <font>
      <sz val="10"/>
      <color theme="8"/>
      <name val="Arial"/>
      <family val="2"/>
    </font>
    <font>
      <sz val="9"/>
      <color theme="4"/>
      <name val="Arial"/>
      <family val="2"/>
    </font>
    <font>
      <u/>
      <sz val="11"/>
      <color theme="10"/>
      <name val="Calibri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6">
    <xf numFmtId="0" fontId="0" fillId="0" borderId="0"/>
    <xf numFmtId="0" fontId="5" fillId="0" borderId="0" applyNumberFormat="0" applyFont="0" applyBorder="0" applyProtection="0"/>
    <xf numFmtId="0" fontId="5" fillId="0" borderId="0" applyNumberFormat="0" applyFont="0" applyBorder="0" applyProtection="0"/>
    <xf numFmtId="0" fontId="5" fillId="0" borderId="0" applyNumberFormat="0" applyFont="0" applyBorder="0" applyProtection="0">
      <alignment horizontal="left"/>
    </xf>
    <xf numFmtId="0" fontId="6" fillId="0" borderId="0" applyNumberFormat="0" applyBorder="0" applyProtection="0">
      <alignment horizontal="center"/>
    </xf>
    <xf numFmtId="0" fontId="6" fillId="0" borderId="0" applyNumberFormat="0" applyBorder="0" applyProtection="0">
      <alignment horizontal="center" textRotation="90"/>
    </xf>
    <xf numFmtId="0" fontId="7" fillId="0" borderId="0" applyNumberFormat="0" applyBorder="0" applyProtection="0"/>
    <xf numFmtId="0" fontId="7" fillId="0" borderId="0" applyNumberFormat="0" applyBorder="0" applyProtection="0"/>
    <xf numFmtId="0" fontId="8" fillId="0" borderId="0" applyNumberFormat="0" applyBorder="0" applyProtection="0"/>
    <xf numFmtId="166" fontId="8" fillId="0" borderId="0" applyBorder="0" applyProtection="0"/>
    <xf numFmtId="0" fontId="9" fillId="0" borderId="0" applyNumberFormat="0" applyBorder="0" applyProtection="0"/>
    <xf numFmtId="0" fontId="9" fillId="0" borderId="0" applyNumberFormat="0" applyBorder="0" applyProtection="0">
      <alignment horizontal="left"/>
    </xf>
    <xf numFmtId="0" fontId="5" fillId="0" borderId="0" applyNumberFormat="0" applyFont="0" applyBorder="0" applyProtection="0"/>
    <xf numFmtId="0" fontId="43" fillId="0" borderId="0" applyNumberFormat="0" applyFill="0" applyBorder="0" applyAlignment="0" applyProtection="0"/>
    <xf numFmtId="0" fontId="4" fillId="0" borderId="0"/>
    <xf numFmtId="0" fontId="45" fillId="0" borderId="0" applyNumberFormat="0" applyFill="0" applyBorder="0" applyAlignment="0" applyProtection="0"/>
  </cellStyleXfs>
  <cellXfs count="326">
    <xf numFmtId="0" fontId="0" fillId="0" borderId="0" xfId="0"/>
    <xf numFmtId="0" fontId="33" fillId="0" borderId="1" xfId="0" applyFont="1" applyBorder="1" applyAlignment="1">
      <alignment horizontal="center" vertical="center"/>
    </xf>
    <xf numFmtId="14" fontId="33" fillId="0" borderId="1" xfId="6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33" fillId="0" borderId="1" xfId="6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4" fontId="33" fillId="0" borderId="1" xfId="6" applyNumberFormat="1" applyFont="1" applyBorder="1" applyAlignment="1">
      <alignment horizontal="center" vertical="center"/>
    </xf>
    <xf numFmtId="3" fontId="33" fillId="0" borderId="1" xfId="6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3" fontId="26" fillId="0" borderId="1" xfId="6" applyNumberFormat="1" applyFont="1" applyBorder="1" applyAlignment="1">
      <alignment horizontal="center" vertical="center"/>
    </xf>
    <xf numFmtId="4" fontId="33" fillId="0" borderId="1" xfId="0" applyNumberFormat="1" applyFont="1" applyBorder="1" applyAlignment="1">
      <alignment horizontal="center" vertical="center"/>
    </xf>
    <xf numFmtId="14" fontId="33" fillId="0" borderId="1" xfId="0" applyNumberFormat="1" applyFont="1" applyBorder="1" applyAlignment="1">
      <alignment horizontal="center" vertical="center"/>
    </xf>
    <xf numFmtId="165" fontId="17" fillId="0" borderId="1" xfId="6" applyNumberFormat="1" applyFont="1" applyBorder="1" applyAlignment="1">
      <alignment horizontal="center" vertical="center"/>
    </xf>
    <xf numFmtId="3" fontId="33" fillId="0" borderId="1" xfId="0" applyNumberFormat="1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2" fontId="33" fillId="0" borderId="1" xfId="0" applyNumberFormat="1" applyFont="1" applyBorder="1" applyAlignment="1">
      <alignment horizontal="center" vertical="center"/>
    </xf>
    <xf numFmtId="0" fontId="26" fillId="0" borderId="1" xfId="6" applyFont="1" applyBorder="1" applyAlignment="1">
      <alignment horizontal="center" vertical="center"/>
    </xf>
    <xf numFmtId="0" fontId="18" fillId="0" borderId="1" xfId="0" applyFont="1" applyBorder="1" applyAlignment="1">
      <alignment horizontal="center"/>
    </xf>
    <xf numFmtId="0" fontId="37" fillId="0" borderId="1" xfId="0" applyFont="1" applyBorder="1" applyAlignment="1">
      <alignment horizontal="center" vertical="center"/>
    </xf>
    <xf numFmtId="3" fontId="37" fillId="0" borderId="1" xfId="6" applyNumberFormat="1" applyFont="1" applyBorder="1" applyAlignment="1">
      <alignment horizontal="center" vertical="center"/>
    </xf>
    <xf numFmtId="3" fontId="37" fillId="0" borderId="1" xfId="0" applyNumberFormat="1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37" fillId="0" borderId="1" xfId="6" applyFont="1" applyBorder="1" applyAlignment="1">
      <alignment horizontal="center" vertical="center"/>
    </xf>
    <xf numFmtId="2" fontId="37" fillId="0" borderId="1" xfId="0" applyNumberFormat="1" applyFont="1" applyBorder="1" applyAlignment="1">
      <alignment horizontal="center" vertical="center"/>
    </xf>
    <xf numFmtId="4" fontId="37" fillId="0" borderId="1" xfId="0" applyNumberFormat="1" applyFont="1" applyBorder="1" applyAlignment="1">
      <alignment horizontal="center" vertical="center"/>
    </xf>
    <xf numFmtId="0" fontId="29" fillId="0" borderId="1" xfId="6" applyFont="1" applyBorder="1" applyAlignment="1">
      <alignment horizontal="center" vertical="center"/>
    </xf>
    <xf numFmtId="2" fontId="37" fillId="0" borderId="1" xfId="6" applyNumberFormat="1" applyFont="1" applyBorder="1" applyAlignment="1">
      <alignment horizontal="center" vertical="center"/>
    </xf>
    <xf numFmtId="4" fontId="37" fillId="0" borderId="1" xfId="6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center"/>
    </xf>
    <xf numFmtId="1" fontId="37" fillId="0" borderId="1" xfId="0" applyNumberFormat="1" applyFont="1" applyBorder="1" applyAlignment="1">
      <alignment horizontal="center" vertical="center"/>
    </xf>
    <xf numFmtId="165" fontId="33" fillId="0" borderId="1" xfId="0" applyNumberFormat="1" applyFont="1" applyBorder="1" applyAlignment="1">
      <alignment horizontal="center" vertical="center"/>
    </xf>
    <xf numFmtId="14" fontId="37" fillId="0" borderId="1" xfId="0" applyNumberFormat="1" applyFont="1" applyBorder="1" applyAlignment="1">
      <alignment horizontal="center" vertical="center"/>
    </xf>
    <xf numFmtId="165" fontId="16" fillId="0" borderId="1" xfId="6" applyNumberFormat="1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2" fontId="33" fillId="0" borderId="1" xfId="6" applyNumberFormat="1" applyFont="1" applyBorder="1" applyAlignment="1">
      <alignment horizontal="center" vertical="center"/>
    </xf>
    <xf numFmtId="0" fontId="35" fillId="0" borderId="1" xfId="6" applyFont="1" applyBorder="1" applyAlignment="1">
      <alignment horizontal="center" vertical="center"/>
    </xf>
    <xf numFmtId="165" fontId="33" fillId="0" borderId="1" xfId="6" applyNumberFormat="1" applyFont="1" applyBorder="1" applyAlignment="1">
      <alignment horizontal="center" vertical="center"/>
    </xf>
    <xf numFmtId="14" fontId="31" fillId="0" borderId="1" xfId="0" applyNumberFormat="1" applyFont="1" applyBorder="1" applyAlignment="1">
      <alignment horizontal="center" vertical="center"/>
    </xf>
    <xf numFmtId="14" fontId="37" fillId="0" borderId="1" xfId="6" applyNumberFormat="1" applyFont="1" applyBorder="1" applyAlignment="1">
      <alignment horizontal="center" vertical="center"/>
    </xf>
    <xf numFmtId="3" fontId="29" fillId="0" borderId="1" xfId="6" applyNumberFormat="1" applyFont="1" applyBorder="1" applyAlignment="1">
      <alignment horizontal="center" vertical="center"/>
    </xf>
    <xf numFmtId="165" fontId="29" fillId="0" borderId="1" xfId="6" applyNumberFormat="1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14" fontId="35" fillId="0" borderId="1" xfId="0" applyNumberFormat="1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2" fontId="35" fillId="0" borderId="1" xfId="0" applyNumberFormat="1" applyFont="1" applyBorder="1" applyAlignment="1">
      <alignment horizontal="center" vertical="center"/>
    </xf>
    <xf numFmtId="3" fontId="35" fillId="0" borderId="1" xfId="0" applyNumberFormat="1" applyFont="1" applyBorder="1" applyAlignment="1">
      <alignment horizontal="center" vertical="center"/>
    </xf>
    <xf numFmtId="3" fontId="35" fillId="0" borderId="1" xfId="6" applyNumberFormat="1" applyFont="1" applyBorder="1" applyAlignment="1">
      <alignment horizontal="center" vertical="center"/>
    </xf>
    <xf numFmtId="4" fontId="35" fillId="0" borderId="1" xfId="0" applyNumberFormat="1" applyFont="1" applyBorder="1" applyAlignment="1">
      <alignment horizontal="center" vertical="center"/>
    </xf>
    <xf numFmtId="165" fontId="37" fillId="0" borderId="1" xfId="0" applyNumberFormat="1" applyFont="1" applyBorder="1" applyAlignment="1">
      <alignment horizontal="center" vertical="center"/>
    </xf>
    <xf numFmtId="3" fontId="16" fillId="0" borderId="1" xfId="6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1" xfId="6" applyFont="1" applyBorder="1" applyAlignment="1">
      <alignment horizontal="center" vertical="center"/>
    </xf>
    <xf numFmtId="3" fontId="17" fillId="0" borderId="1" xfId="6" applyNumberFormat="1" applyFont="1" applyBorder="1" applyAlignment="1">
      <alignment horizontal="center" vertical="center"/>
    </xf>
    <xf numFmtId="0" fontId="7" fillId="0" borderId="0" xfId="0" applyFont="1"/>
    <xf numFmtId="2" fontId="35" fillId="0" borderId="1" xfId="6" applyNumberFormat="1" applyFont="1" applyBorder="1" applyAlignment="1">
      <alignment horizontal="center" vertical="center"/>
    </xf>
    <xf numFmtId="4" fontId="35" fillId="0" borderId="1" xfId="6" applyNumberFormat="1" applyFont="1" applyBorder="1" applyAlignment="1">
      <alignment horizontal="center" vertical="center"/>
    </xf>
    <xf numFmtId="0" fontId="17" fillId="0" borderId="1" xfId="6" applyFont="1" applyBorder="1" applyAlignment="1">
      <alignment horizontal="center" vertical="center"/>
    </xf>
    <xf numFmtId="164" fontId="37" fillId="0" borderId="1" xfId="0" applyNumberFormat="1" applyFont="1" applyBorder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3" fontId="17" fillId="0" borderId="1" xfId="0" applyNumberFormat="1" applyFont="1" applyBorder="1" applyAlignment="1">
      <alignment horizontal="center" vertical="center"/>
    </xf>
    <xf numFmtId="0" fontId="34" fillId="0" borderId="1" xfId="6" applyFont="1" applyBorder="1" applyAlignment="1">
      <alignment horizontal="center" vertical="center"/>
    </xf>
    <xf numFmtId="1" fontId="34" fillId="0" borderId="1" xfId="0" applyNumberFormat="1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14" fontId="34" fillId="0" borderId="1" xfId="6" applyNumberFormat="1" applyFont="1" applyBorder="1" applyAlignment="1">
      <alignment horizontal="center" vertical="center"/>
    </xf>
    <xf numFmtId="3" fontId="36" fillId="0" borderId="1" xfId="6" applyNumberFormat="1" applyFont="1" applyBorder="1" applyAlignment="1">
      <alignment horizontal="center" vertical="center"/>
    </xf>
    <xf numFmtId="4" fontId="34" fillId="0" borderId="1" xfId="6" applyNumberFormat="1" applyFont="1" applyBorder="1" applyAlignment="1">
      <alignment horizontal="center" vertical="center"/>
    </xf>
    <xf numFmtId="3" fontId="34" fillId="0" borderId="1" xfId="0" applyNumberFormat="1" applyFont="1" applyBorder="1" applyAlignment="1">
      <alignment horizontal="center" vertical="center"/>
    </xf>
    <xf numFmtId="3" fontId="34" fillId="0" borderId="1" xfId="6" applyNumberFormat="1" applyFont="1" applyBorder="1" applyAlignment="1">
      <alignment horizontal="center" vertical="center"/>
    </xf>
    <xf numFmtId="4" fontId="34" fillId="0" borderId="1" xfId="0" applyNumberFormat="1" applyFont="1" applyBorder="1" applyAlignment="1">
      <alignment horizontal="center" vertical="center"/>
    </xf>
    <xf numFmtId="165" fontId="26" fillId="0" borderId="1" xfId="6" applyNumberFormat="1" applyFont="1" applyBorder="1" applyAlignment="1">
      <alignment horizontal="center" vertical="center"/>
    </xf>
    <xf numFmtId="3" fontId="39" fillId="0" borderId="1" xfId="6" applyNumberFormat="1" applyFont="1" applyBorder="1" applyAlignment="1">
      <alignment horizontal="center" vertical="center"/>
    </xf>
    <xf numFmtId="14" fontId="34" fillId="0" borderId="1" xfId="0" applyNumberFormat="1" applyFont="1" applyBorder="1" applyAlignment="1">
      <alignment horizontal="center" vertical="center"/>
    </xf>
    <xf numFmtId="165" fontId="34" fillId="0" borderId="1" xfId="6" applyNumberFormat="1" applyFont="1" applyBorder="1" applyAlignment="1">
      <alignment horizontal="center" vertical="center"/>
    </xf>
    <xf numFmtId="1" fontId="33" fillId="0" borderId="1" xfId="6" applyNumberFormat="1" applyFont="1" applyBorder="1" applyAlignment="1">
      <alignment horizontal="center" vertical="center"/>
    </xf>
    <xf numFmtId="3" fontId="16" fillId="0" borderId="1" xfId="0" applyNumberFormat="1" applyFont="1" applyBorder="1" applyAlignment="1">
      <alignment horizontal="center" vertical="center"/>
    </xf>
    <xf numFmtId="0" fontId="32" fillId="0" borderId="1" xfId="6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0" fillId="0" borderId="0" xfId="0" applyFont="1"/>
    <xf numFmtId="0" fontId="12" fillId="0" borderId="1" xfId="0" applyFont="1" applyBorder="1" applyAlignment="1">
      <alignment horizontal="center" vertical="center"/>
    </xf>
    <xf numFmtId="14" fontId="12" fillId="0" borderId="1" xfId="6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12" fillId="0" borderId="1" xfId="6" applyFont="1" applyBorder="1" applyAlignment="1">
      <alignment horizontal="center" vertical="center"/>
    </xf>
    <xf numFmtId="4" fontId="12" fillId="0" borderId="1" xfId="6" applyNumberFormat="1" applyFont="1" applyBorder="1" applyAlignment="1">
      <alignment horizontal="center" vertical="center"/>
    </xf>
    <xf numFmtId="3" fontId="12" fillId="0" borderId="1" xfId="6" applyNumberFormat="1" applyFont="1" applyBorder="1" applyAlignment="1">
      <alignment horizontal="center" vertical="center"/>
    </xf>
    <xf numFmtId="3" fontId="25" fillId="0" borderId="1" xfId="6" applyNumberFormat="1" applyFont="1" applyBorder="1" applyAlignment="1">
      <alignment horizontal="center" vertical="center"/>
    </xf>
    <xf numFmtId="1" fontId="12" fillId="0" borderId="1" xfId="6" applyNumberFormat="1" applyFont="1" applyBorder="1" applyAlignment="1">
      <alignment horizontal="center" vertical="center"/>
    </xf>
    <xf numFmtId="4" fontId="12" fillId="0" borderId="1" xfId="0" applyNumberFormat="1" applyFont="1" applyBorder="1" applyAlignment="1">
      <alignment horizontal="center" vertical="center"/>
    </xf>
    <xf numFmtId="0" fontId="0" fillId="0" borderId="1" xfId="0" applyBorder="1"/>
    <xf numFmtId="14" fontId="2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4" fontId="29" fillId="0" borderId="1" xfId="0" applyNumberFormat="1" applyFont="1" applyBorder="1" applyAlignment="1">
      <alignment horizontal="center" vertical="center"/>
    </xf>
    <xf numFmtId="14" fontId="32" fillId="0" borderId="1" xfId="0" applyNumberFormat="1" applyFont="1" applyBorder="1" applyAlignment="1">
      <alignment horizontal="center" vertical="center"/>
    </xf>
    <xf numFmtId="4" fontId="7" fillId="0" borderId="1" xfId="0" applyNumberFormat="1" applyFont="1" applyBorder="1" applyAlignment="1">
      <alignment horizontal="center" vertical="center"/>
    </xf>
    <xf numFmtId="14" fontId="27" fillId="0" borderId="1" xfId="0" applyNumberFormat="1" applyFont="1" applyBorder="1" applyAlignment="1">
      <alignment horizontal="center" vertical="center"/>
    </xf>
    <xf numFmtId="14" fontId="30" fillId="0" borderId="1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165" fontId="35" fillId="0" borderId="1" xfId="0" applyNumberFormat="1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14" fontId="16" fillId="0" borderId="1" xfId="0" applyNumberFormat="1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14" fontId="36" fillId="0" borderId="1" xfId="0" applyNumberFormat="1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2" fontId="34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31" fillId="0" borderId="1" xfId="6" applyFont="1" applyBorder="1" applyAlignment="1">
      <alignment horizontal="center" vertical="center"/>
    </xf>
    <xf numFmtId="165" fontId="32" fillId="0" borderId="1" xfId="6" applyNumberFormat="1" applyFont="1" applyBorder="1" applyAlignment="1">
      <alignment horizontal="center" vertical="center"/>
    </xf>
    <xf numFmtId="4" fontId="26" fillId="0" borderId="1" xfId="6" applyNumberFormat="1" applyFont="1" applyBorder="1" applyAlignment="1">
      <alignment horizontal="center" vertical="center"/>
    </xf>
    <xf numFmtId="165" fontId="37" fillId="0" borderId="1" xfId="6" applyNumberFormat="1" applyFont="1" applyBorder="1" applyAlignment="1">
      <alignment horizontal="center" vertical="center"/>
    </xf>
    <xf numFmtId="167" fontId="25" fillId="0" borderId="1" xfId="6" applyNumberFormat="1" applyFont="1" applyBorder="1" applyAlignment="1">
      <alignment horizontal="center" vertical="center"/>
    </xf>
    <xf numFmtId="14" fontId="25" fillId="0" borderId="1" xfId="0" applyNumberFormat="1" applyFont="1" applyBorder="1" applyAlignment="1">
      <alignment horizontal="center" vertical="center"/>
    </xf>
    <xf numFmtId="14" fontId="21" fillId="0" borderId="1" xfId="0" applyNumberFormat="1" applyFont="1" applyBorder="1" applyAlignment="1">
      <alignment horizontal="center" vertical="center"/>
    </xf>
    <xf numFmtId="0" fontId="7" fillId="0" borderId="1" xfId="0" applyFont="1" applyBorder="1"/>
    <xf numFmtId="0" fontId="20" fillId="0" borderId="1" xfId="0" applyFont="1" applyBorder="1"/>
    <xf numFmtId="1" fontId="12" fillId="0" borderId="1" xfId="0" applyNumberFormat="1" applyFont="1" applyBorder="1" applyAlignment="1">
      <alignment horizontal="center" vertical="center"/>
    </xf>
    <xf numFmtId="3" fontId="12" fillId="0" borderId="1" xfId="0" applyNumberFormat="1" applyFont="1" applyBorder="1" applyAlignment="1">
      <alignment horizontal="center" vertical="center"/>
    </xf>
    <xf numFmtId="14" fontId="12" fillId="0" borderId="1" xfId="0" applyNumberFormat="1" applyFont="1" applyBorder="1" applyAlignment="1">
      <alignment horizontal="center" vertical="center"/>
    </xf>
    <xf numFmtId="165" fontId="12" fillId="0" borderId="1" xfId="6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3" fontId="21" fillId="0" borderId="1" xfId="6" applyNumberFormat="1" applyFont="1" applyBorder="1" applyAlignment="1">
      <alignment horizontal="center" vertical="center"/>
    </xf>
    <xf numFmtId="0" fontId="18" fillId="0" borderId="1" xfId="0" applyFont="1" applyBorder="1"/>
    <xf numFmtId="0" fontId="25" fillId="0" borderId="1" xfId="6" applyFont="1" applyBorder="1" applyAlignment="1">
      <alignment horizontal="center" vertical="center"/>
    </xf>
    <xf numFmtId="0" fontId="11" fillId="0" borderId="1" xfId="0" applyFont="1" applyBorder="1"/>
    <xf numFmtId="14" fontId="31" fillId="0" borderId="1" xfId="6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/>
    </xf>
    <xf numFmtId="0" fontId="10" fillId="0" borderId="1" xfId="0" applyFont="1" applyBorder="1"/>
    <xf numFmtId="0" fontId="12" fillId="0" borderId="1" xfId="6" applyFont="1" applyBorder="1" applyAlignment="1">
      <alignment horizontal="left" vertical="center"/>
    </xf>
    <xf numFmtId="0" fontId="33" fillId="0" borderId="1" xfId="6" applyFont="1" applyBorder="1" applyAlignment="1">
      <alignment horizontal="left" vertical="center"/>
    </xf>
    <xf numFmtId="0" fontId="33" fillId="0" borderId="1" xfId="0" applyFont="1" applyBorder="1" applyAlignment="1">
      <alignment horizontal="left" vertical="center"/>
    </xf>
    <xf numFmtId="0" fontId="37" fillId="0" borderId="1" xfId="6" applyFont="1" applyBorder="1" applyAlignment="1">
      <alignment horizontal="left" vertical="center"/>
    </xf>
    <xf numFmtId="0" fontId="35" fillId="0" borderId="1" xfId="0" applyFont="1" applyBorder="1" applyAlignment="1">
      <alignment horizontal="left" vertical="center"/>
    </xf>
    <xf numFmtId="0" fontId="37" fillId="0" borderId="1" xfId="0" applyFont="1" applyBorder="1" applyAlignment="1">
      <alignment horizontal="left" vertical="center"/>
    </xf>
    <xf numFmtId="0" fontId="38" fillId="0" borderId="1" xfId="6" applyFont="1" applyBorder="1" applyAlignment="1">
      <alignment horizontal="left" vertical="center"/>
    </xf>
    <xf numFmtId="0" fontId="40" fillId="0" borderId="1" xfId="6" applyFont="1" applyBorder="1" applyAlignment="1">
      <alignment horizontal="left" vertical="center"/>
    </xf>
    <xf numFmtId="0" fontId="35" fillId="0" borderId="1" xfId="6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34" fillId="0" borderId="1" xfId="6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34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/>
    </xf>
    <xf numFmtId="0" fontId="15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13" fillId="0" borderId="1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wrapText="1"/>
    </xf>
    <xf numFmtId="0" fontId="13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3" fillId="3" borderId="1" xfId="0" applyFont="1" applyFill="1" applyBorder="1" applyAlignment="1">
      <alignment horizontal="center" vertical="center" wrapText="1"/>
    </xf>
    <xf numFmtId="0" fontId="44" fillId="0" borderId="2" xfId="14" applyFont="1" applyBorder="1"/>
    <xf numFmtId="0" fontId="32" fillId="0" borderId="2" xfId="14" applyFont="1" applyBorder="1"/>
    <xf numFmtId="0" fontId="4" fillId="0" borderId="2" xfId="14" applyBorder="1"/>
    <xf numFmtId="0" fontId="4" fillId="0" borderId="0" xfId="14"/>
    <xf numFmtId="0" fontId="44" fillId="0" borderId="3" xfId="14" applyFont="1" applyBorder="1"/>
    <xf numFmtId="0" fontId="4" fillId="0" borderId="4" xfId="14" applyBorder="1"/>
    <xf numFmtId="0" fontId="32" fillId="0" borderId="0" xfId="14" applyFont="1"/>
    <xf numFmtId="0" fontId="29" fillId="0" borderId="0" xfId="14" applyFont="1"/>
    <xf numFmtId="0" fontId="37" fillId="0" borderId="0" xfId="14" applyFont="1"/>
    <xf numFmtId="49" fontId="29" fillId="0" borderId="0" xfId="14" applyNumberFormat="1" applyFont="1"/>
    <xf numFmtId="0" fontId="4" fillId="0" borderId="9" xfId="14" applyBorder="1"/>
    <xf numFmtId="0" fontId="32" fillId="0" borderId="6" xfId="14" applyFont="1" applyBorder="1"/>
    <xf numFmtId="0" fontId="32" fillId="0" borderId="12" xfId="14" applyFont="1" applyBorder="1"/>
    <xf numFmtId="0" fontId="32" fillId="0" borderId="11" xfId="14" applyFont="1" applyBorder="1" applyAlignment="1">
      <alignment horizontal="center" vertical="center"/>
    </xf>
    <xf numFmtId="0" fontId="32" fillId="0" borderId="11" xfId="14" applyFont="1" applyBorder="1" applyAlignment="1">
      <alignment vertical="center"/>
    </xf>
    <xf numFmtId="0" fontId="32" fillId="0" borderId="0" xfId="14" applyFont="1" applyAlignment="1">
      <alignment horizontal="center" vertical="center"/>
    </xf>
    <xf numFmtId="0" fontId="4" fillId="0" borderId="8" xfId="14" applyBorder="1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9" fillId="0" borderId="0" xfId="0" applyFont="1" applyAlignment="1">
      <alignment vertical="center"/>
    </xf>
    <xf numFmtId="3" fontId="0" fillId="0" borderId="1" xfId="0" applyNumberFormat="1" applyBorder="1" applyAlignment="1">
      <alignment vertical="center"/>
    </xf>
    <xf numFmtId="0" fontId="43" fillId="0" borderId="1" xfId="13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0" borderId="0" xfId="0" applyFont="1"/>
    <xf numFmtId="0" fontId="4" fillId="5" borderId="0" xfId="14" applyFill="1"/>
    <xf numFmtId="0" fontId="9" fillId="7" borderId="1" xfId="0" applyFont="1" applyFill="1" applyBorder="1"/>
    <xf numFmtId="0" fontId="43" fillId="0" borderId="1" xfId="13" applyBorder="1"/>
    <xf numFmtId="3" fontId="0" fillId="0" borderId="1" xfId="0" applyNumberFormat="1" applyBorder="1"/>
    <xf numFmtId="0" fontId="3" fillId="7" borderId="0" xfId="14" applyFont="1" applyFill="1"/>
    <xf numFmtId="0" fontId="2" fillId="7" borderId="0" xfId="14" applyFont="1" applyFill="1"/>
    <xf numFmtId="0" fontId="2" fillId="5" borderId="0" xfId="14" applyFont="1" applyFill="1"/>
    <xf numFmtId="0" fontId="29" fillId="4" borderId="6" xfId="0" applyFont="1" applyFill="1" applyBorder="1" applyAlignment="1">
      <alignment horizontal="center" vertical="center"/>
    </xf>
    <xf numFmtId="0" fontId="29" fillId="4" borderId="2" xfId="0" applyFont="1" applyFill="1" applyBorder="1" applyAlignment="1">
      <alignment horizontal="center" vertical="center"/>
    </xf>
    <xf numFmtId="0" fontId="29" fillId="4" borderId="10" xfId="0" applyFont="1" applyFill="1" applyBorder="1" applyAlignment="1">
      <alignment horizontal="center" vertical="center"/>
    </xf>
    <xf numFmtId="0" fontId="32" fillId="0" borderId="2" xfId="0" applyFont="1" applyBorder="1"/>
    <xf numFmtId="0" fontId="32" fillId="0" borderId="0" xfId="0" applyFont="1"/>
    <xf numFmtId="0" fontId="29" fillId="4" borderId="11" xfId="0" applyFont="1" applyFill="1" applyBorder="1" applyAlignment="1">
      <alignment horizontal="center" vertical="center"/>
    </xf>
    <xf numFmtId="0" fontId="32" fillId="0" borderId="3" xfId="0" applyFont="1" applyBorder="1"/>
    <xf numFmtId="0" fontId="32" fillId="0" borderId="4" xfId="0" applyFont="1" applyBorder="1"/>
    <xf numFmtId="0" fontId="32" fillId="0" borderId="10" xfId="0" applyFont="1" applyBorder="1"/>
    <xf numFmtId="0" fontId="32" fillId="0" borderId="11" xfId="0" applyFont="1" applyBorder="1"/>
    <xf numFmtId="0" fontId="13" fillId="8" borderId="1" xfId="0" applyFont="1" applyFill="1" applyBorder="1" applyAlignment="1">
      <alignment horizontal="center" vertical="center" wrapText="1"/>
    </xf>
    <xf numFmtId="3" fontId="33" fillId="0" borderId="15" xfId="6" applyNumberFormat="1" applyFont="1" applyBorder="1" applyAlignment="1">
      <alignment horizontal="center" vertical="center"/>
    </xf>
    <xf numFmtId="1" fontId="0" fillId="0" borderId="1" xfId="0" applyNumberFormat="1" applyBorder="1"/>
    <xf numFmtId="1" fontId="13" fillId="0" borderId="1" xfId="0" applyNumberFormat="1" applyFont="1" applyBorder="1" applyAlignment="1">
      <alignment horizontal="center" vertical="center" wrapText="1"/>
    </xf>
    <xf numFmtId="1" fontId="37" fillId="0" borderId="1" xfId="6" applyNumberFormat="1" applyFont="1" applyBorder="1" applyAlignment="1">
      <alignment horizontal="center" vertical="center"/>
    </xf>
    <xf numFmtId="1" fontId="35" fillId="0" borderId="1" xfId="6" applyNumberFormat="1" applyFont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/>
    </xf>
    <xf numFmtId="1" fontId="34" fillId="0" borderId="1" xfId="6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/>
    <xf numFmtId="1" fontId="20" fillId="0" borderId="1" xfId="0" applyNumberFormat="1" applyFont="1" applyBorder="1"/>
    <xf numFmtId="1" fontId="10" fillId="0" borderId="1" xfId="0" applyNumberFormat="1" applyFont="1" applyBorder="1"/>
    <xf numFmtId="0" fontId="1" fillId="0" borderId="0" xfId="14" applyFont="1"/>
    <xf numFmtId="0" fontId="37" fillId="0" borderId="2" xfId="14" applyFont="1" applyBorder="1" applyAlignment="1">
      <alignment horizontal="left"/>
    </xf>
    <xf numFmtId="0" fontId="29" fillId="4" borderId="5" xfId="14" applyFont="1" applyFill="1" applyBorder="1" applyAlignment="1">
      <alignment horizontal="center"/>
    </xf>
    <xf numFmtId="0" fontId="29" fillId="4" borderId="6" xfId="14" applyFont="1" applyFill="1" applyBorder="1" applyAlignment="1">
      <alignment horizontal="center"/>
    </xf>
    <xf numFmtId="0" fontId="29" fillId="4" borderId="7" xfId="14" applyFont="1" applyFill="1" applyBorder="1" applyAlignment="1">
      <alignment horizontal="center"/>
    </xf>
    <xf numFmtId="0" fontId="32" fillId="0" borderId="5" xfId="14" applyFont="1" applyBorder="1" applyAlignment="1">
      <alignment horizontal="center"/>
    </xf>
    <xf numFmtId="0" fontId="32" fillId="0" borderId="6" xfId="14" applyFont="1" applyBorder="1" applyAlignment="1">
      <alignment horizontal="center"/>
    </xf>
    <xf numFmtId="0" fontId="32" fillId="0" borderId="7" xfId="14" applyFont="1" applyBorder="1" applyAlignment="1">
      <alignment horizontal="center"/>
    </xf>
    <xf numFmtId="49" fontId="29" fillId="4" borderId="5" xfId="14" applyNumberFormat="1" applyFont="1" applyFill="1" applyBorder="1" applyAlignment="1">
      <alignment horizontal="center"/>
    </xf>
    <xf numFmtId="49" fontId="29" fillId="4" borderId="6" xfId="14" applyNumberFormat="1" applyFont="1" applyFill="1" applyBorder="1" applyAlignment="1">
      <alignment horizontal="center"/>
    </xf>
    <xf numFmtId="49" fontId="29" fillId="4" borderId="7" xfId="14" applyNumberFormat="1" applyFont="1" applyFill="1" applyBorder="1" applyAlignment="1">
      <alignment horizontal="center"/>
    </xf>
    <xf numFmtId="0" fontId="32" fillId="0" borderId="5" xfId="0" applyFont="1" applyBorder="1" applyAlignment="1">
      <alignment horizontal="center" vertical="center"/>
    </xf>
    <xf numFmtId="0" fontId="32" fillId="0" borderId="6" xfId="0" applyFont="1" applyBorder="1" applyAlignment="1">
      <alignment horizontal="center" vertical="center"/>
    </xf>
    <xf numFmtId="0" fontId="32" fillId="0" borderId="7" xfId="0" applyFont="1" applyBorder="1" applyAlignment="1">
      <alignment horizontal="center" vertical="center"/>
    </xf>
    <xf numFmtId="0" fontId="29" fillId="4" borderId="5" xfId="0" applyFont="1" applyFill="1" applyBorder="1" applyAlignment="1">
      <alignment horizontal="left" vertical="top"/>
    </xf>
    <xf numFmtId="0" fontId="29" fillId="4" borderId="6" xfId="0" applyFont="1" applyFill="1" applyBorder="1" applyAlignment="1">
      <alignment horizontal="left" vertical="top"/>
    </xf>
    <xf numFmtId="0" fontId="29" fillId="4" borderId="7" xfId="0" applyFont="1" applyFill="1" applyBorder="1" applyAlignment="1">
      <alignment horizontal="left" vertical="top"/>
    </xf>
    <xf numFmtId="0" fontId="32" fillId="0" borderId="5" xfId="0" applyFont="1" applyBorder="1" applyAlignment="1">
      <alignment horizontal="center"/>
    </xf>
    <xf numFmtId="0" fontId="32" fillId="0" borderId="6" xfId="0" applyFont="1" applyBorder="1" applyAlignment="1">
      <alignment horizontal="center"/>
    </xf>
    <xf numFmtId="0" fontId="32" fillId="0" borderId="7" xfId="0" applyFont="1" applyBorder="1" applyAlignment="1">
      <alignment horizontal="center"/>
    </xf>
    <xf numFmtId="0" fontId="29" fillId="4" borderId="5" xfId="0" applyFont="1" applyFill="1" applyBorder="1" applyAlignment="1">
      <alignment vertical="top"/>
    </xf>
    <xf numFmtId="0" fontId="29" fillId="4" borderId="6" xfId="0" applyFont="1" applyFill="1" applyBorder="1" applyAlignment="1">
      <alignment vertical="top"/>
    </xf>
    <xf numFmtId="0" fontId="29" fillId="4" borderId="7" xfId="0" applyFont="1" applyFill="1" applyBorder="1" applyAlignment="1">
      <alignment vertical="top"/>
    </xf>
    <xf numFmtId="0" fontId="32" fillId="4" borderId="5" xfId="0" applyFont="1" applyFill="1" applyBorder="1" applyAlignment="1">
      <alignment horizontal="center"/>
    </xf>
    <xf numFmtId="0" fontId="32" fillId="4" borderId="6" xfId="0" applyFont="1" applyFill="1" applyBorder="1" applyAlignment="1">
      <alignment horizontal="center"/>
    </xf>
    <xf numFmtId="0" fontId="32" fillId="4" borderId="7" xfId="0" applyFont="1" applyFill="1" applyBorder="1" applyAlignment="1">
      <alignment horizontal="center"/>
    </xf>
    <xf numFmtId="0" fontId="32" fillId="0" borderId="13" xfId="14" applyFont="1" applyBorder="1" applyAlignment="1">
      <alignment horizontal="center"/>
    </xf>
    <xf numFmtId="0" fontId="32" fillId="0" borderId="12" xfId="14" applyFont="1" applyBorder="1" applyAlignment="1">
      <alignment horizontal="center"/>
    </xf>
    <xf numFmtId="0" fontId="32" fillId="0" borderId="3" xfId="14" applyFont="1" applyBorder="1" applyAlignment="1">
      <alignment horizontal="center"/>
    </xf>
    <xf numFmtId="0" fontId="32" fillId="0" borderId="0" xfId="14" applyFont="1" applyAlignment="1">
      <alignment horizontal="center"/>
    </xf>
    <xf numFmtId="0" fontId="32" fillId="0" borderId="8" xfId="14" applyFont="1" applyBorder="1" applyAlignment="1">
      <alignment horizontal="center"/>
    </xf>
    <xf numFmtId="0" fontId="32" fillId="0" borderId="2" xfId="14" applyFont="1" applyBorder="1" applyAlignment="1">
      <alignment horizontal="center"/>
    </xf>
    <xf numFmtId="0" fontId="45" fillId="4" borderId="5" xfId="15" applyFill="1" applyBorder="1" applyAlignment="1">
      <alignment horizontal="center" vertical="top"/>
    </xf>
    <xf numFmtId="0" fontId="45" fillId="4" borderId="6" xfId="15" applyFill="1" applyBorder="1" applyAlignment="1">
      <alignment horizontal="center" vertical="top"/>
    </xf>
    <xf numFmtId="0" fontId="45" fillId="4" borderId="7" xfId="15" applyFill="1" applyBorder="1" applyAlignment="1">
      <alignment horizontal="center" vertical="top"/>
    </xf>
    <xf numFmtId="0" fontId="29" fillId="4" borderId="5" xfId="0" applyFont="1" applyFill="1" applyBorder="1" applyAlignment="1">
      <alignment horizontal="center"/>
    </xf>
    <xf numFmtId="0" fontId="29" fillId="4" borderId="6" xfId="0" applyFont="1" applyFill="1" applyBorder="1" applyAlignment="1">
      <alignment horizontal="center"/>
    </xf>
    <xf numFmtId="0" fontId="29" fillId="4" borderId="7" xfId="0" applyFont="1" applyFill="1" applyBorder="1" applyAlignment="1">
      <alignment horizontal="center"/>
    </xf>
    <xf numFmtId="0" fontId="29" fillId="4" borderId="5" xfId="0" applyFont="1" applyFill="1" applyBorder="1" applyAlignment="1">
      <alignment horizontal="center" vertical="center"/>
    </xf>
    <xf numFmtId="0" fontId="29" fillId="4" borderId="6" xfId="0" applyFont="1" applyFill="1" applyBorder="1" applyAlignment="1">
      <alignment horizontal="center" vertical="center"/>
    </xf>
    <xf numFmtId="0" fontId="29" fillId="4" borderId="7" xfId="0" applyFont="1" applyFill="1" applyBorder="1" applyAlignment="1">
      <alignment horizontal="center" vertical="center"/>
    </xf>
    <xf numFmtId="49" fontId="29" fillId="4" borderId="5" xfId="0" applyNumberFormat="1" applyFont="1" applyFill="1" applyBorder="1" applyAlignment="1">
      <alignment horizontal="center"/>
    </xf>
    <xf numFmtId="49" fontId="29" fillId="4" borderId="6" xfId="0" applyNumberFormat="1" applyFont="1" applyFill="1" applyBorder="1" applyAlignment="1">
      <alignment horizontal="center"/>
    </xf>
    <xf numFmtId="49" fontId="29" fillId="4" borderId="7" xfId="0" applyNumberFormat="1" applyFont="1" applyFill="1" applyBorder="1" applyAlignment="1">
      <alignment horizontal="center"/>
    </xf>
    <xf numFmtId="0" fontId="45" fillId="4" borderId="5" xfId="15" applyFill="1" applyBorder="1" applyAlignment="1">
      <alignment horizontal="center" vertical="center"/>
    </xf>
    <xf numFmtId="0" fontId="45" fillId="4" borderId="6" xfId="15" applyFill="1" applyBorder="1" applyAlignment="1">
      <alignment horizontal="center" vertical="center"/>
    </xf>
    <xf numFmtId="0" fontId="45" fillId="4" borderId="7" xfId="15" applyFill="1" applyBorder="1" applyAlignment="1">
      <alignment horizontal="center" vertical="center"/>
    </xf>
    <xf numFmtId="14" fontId="32" fillId="4" borderId="5" xfId="0" applyNumberFormat="1" applyFont="1" applyFill="1" applyBorder="1" applyAlignment="1">
      <alignment horizontal="center"/>
    </xf>
    <xf numFmtId="14" fontId="32" fillId="4" borderId="6" xfId="0" applyNumberFormat="1" applyFont="1" applyFill="1" applyBorder="1" applyAlignment="1">
      <alignment horizontal="center"/>
    </xf>
    <xf numFmtId="14" fontId="32" fillId="4" borderId="7" xfId="0" applyNumberFormat="1" applyFont="1" applyFill="1" applyBorder="1" applyAlignment="1">
      <alignment horizontal="center"/>
    </xf>
    <xf numFmtId="14" fontId="29" fillId="4" borderId="5" xfId="0" applyNumberFormat="1" applyFont="1" applyFill="1" applyBorder="1" applyAlignment="1">
      <alignment horizontal="center" vertical="center"/>
    </xf>
    <xf numFmtId="0" fontId="32" fillId="0" borderId="5" xfId="14" applyFont="1" applyBorder="1" applyAlignment="1">
      <alignment horizontal="center" vertical="center"/>
    </xf>
    <xf numFmtId="0" fontId="32" fillId="0" borderId="6" xfId="14" applyFont="1" applyBorder="1" applyAlignment="1">
      <alignment horizontal="center" vertical="center"/>
    </xf>
    <xf numFmtId="0" fontId="32" fillId="0" borderId="7" xfId="14" applyFont="1" applyBorder="1" applyAlignment="1">
      <alignment horizontal="center" vertical="center"/>
    </xf>
    <xf numFmtId="0" fontId="32" fillId="4" borderId="5" xfId="14" applyFont="1" applyFill="1" applyBorder="1" applyAlignment="1">
      <alignment horizontal="center"/>
    </xf>
    <xf numFmtId="0" fontId="32" fillId="4" borderId="6" xfId="14" applyFont="1" applyFill="1" applyBorder="1" applyAlignment="1">
      <alignment horizontal="center"/>
    </xf>
    <xf numFmtId="0" fontId="32" fillId="4" borderId="7" xfId="14" applyFont="1" applyFill="1" applyBorder="1" applyAlignment="1">
      <alignment horizontal="center"/>
    </xf>
    <xf numFmtId="0" fontId="32" fillId="4" borderId="5" xfId="14" applyFont="1" applyFill="1" applyBorder="1" applyAlignment="1">
      <alignment horizontal="center" vertical="center"/>
    </xf>
    <xf numFmtId="0" fontId="32" fillId="4" borderId="6" xfId="14" applyFont="1" applyFill="1" applyBorder="1" applyAlignment="1">
      <alignment horizontal="center" vertical="center"/>
    </xf>
    <xf numFmtId="0" fontId="32" fillId="4" borderId="7" xfId="14" applyFont="1" applyFill="1" applyBorder="1" applyAlignment="1">
      <alignment horizontal="center" vertical="center"/>
    </xf>
    <xf numFmtId="14" fontId="32" fillId="4" borderId="5" xfId="14" applyNumberFormat="1" applyFont="1" applyFill="1" applyBorder="1" applyAlignment="1">
      <alignment horizontal="center" vertical="center"/>
    </xf>
    <xf numFmtId="0" fontId="29" fillId="4" borderId="5" xfId="14" applyFont="1" applyFill="1" applyBorder="1" applyAlignment="1">
      <alignment horizontal="center" vertical="top"/>
    </xf>
    <xf numFmtId="0" fontId="29" fillId="4" borderId="6" xfId="14" applyFont="1" applyFill="1" applyBorder="1" applyAlignment="1">
      <alignment horizontal="center" vertical="top"/>
    </xf>
    <xf numFmtId="0" fontId="29" fillId="4" borderId="7" xfId="14" applyFont="1" applyFill="1" applyBorder="1" applyAlignment="1">
      <alignment horizontal="center" vertical="top"/>
    </xf>
    <xf numFmtId="49" fontId="32" fillId="0" borderId="5" xfId="14" applyNumberFormat="1" applyFont="1" applyBorder="1" applyAlignment="1">
      <alignment horizontal="center" vertical="center"/>
    </xf>
    <xf numFmtId="49" fontId="32" fillId="0" borderId="6" xfId="14" applyNumberFormat="1" applyFont="1" applyBorder="1" applyAlignment="1">
      <alignment horizontal="center" vertical="center"/>
    </xf>
    <xf numFmtId="49" fontId="32" fillId="0" borderId="7" xfId="14" applyNumberFormat="1" applyFont="1" applyBorder="1" applyAlignment="1">
      <alignment horizontal="center" vertical="center"/>
    </xf>
    <xf numFmtId="0" fontId="32" fillId="0" borderId="3" xfId="14" applyFont="1" applyBorder="1" applyAlignment="1">
      <alignment horizontal="left" vertical="top"/>
    </xf>
    <xf numFmtId="0" fontId="32" fillId="0" borderId="0" xfId="14" applyFont="1" applyAlignment="1">
      <alignment horizontal="left" vertical="top"/>
    </xf>
    <xf numFmtId="0" fontId="32" fillId="0" borderId="4" xfId="14" applyFont="1" applyBorder="1" applyAlignment="1">
      <alignment horizontal="left" vertical="top"/>
    </xf>
    <xf numFmtId="0" fontId="32" fillId="0" borderId="8" xfId="14" applyFont="1" applyBorder="1" applyAlignment="1">
      <alignment horizontal="left" vertical="top"/>
    </xf>
    <xf numFmtId="0" fontId="32" fillId="0" borderId="2" xfId="14" applyFont="1" applyBorder="1" applyAlignment="1">
      <alignment horizontal="left" vertical="top"/>
    </xf>
    <xf numFmtId="0" fontId="32" fillId="0" borderId="9" xfId="14" applyFont="1" applyBorder="1" applyAlignment="1">
      <alignment horizontal="left" vertical="top"/>
    </xf>
    <xf numFmtId="4" fontId="29" fillId="4" borderId="13" xfId="14" applyNumberFormat="1" applyFont="1" applyFill="1" applyBorder="1" applyAlignment="1">
      <alignment horizontal="center" vertical="center"/>
    </xf>
    <xf numFmtId="4" fontId="29" fillId="4" borderId="12" xfId="14" applyNumberFormat="1" applyFont="1" applyFill="1" applyBorder="1" applyAlignment="1">
      <alignment horizontal="center" vertical="center"/>
    </xf>
    <xf numFmtId="4" fontId="29" fillId="4" borderId="14" xfId="14" applyNumberFormat="1" applyFont="1" applyFill="1" applyBorder="1" applyAlignment="1">
      <alignment horizontal="center" vertical="center"/>
    </xf>
    <xf numFmtId="4" fontId="29" fillId="4" borderId="3" xfId="14" applyNumberFormat="1" applyFont="1" applyFill="1" applyBorder="1" applyAlignment="1">
      <alignment horizontal="center" vertical="center"/>
    </xf>
    <xf numFmtId="4" fontId="29" fillId="4" borderId="0" xfId="14" applyNumberFormat="1" applyFont="1" applyFill="1" applyAlignment="1">
      <alignment horizontal="center" vertical="center"/>
    </xf>
    <xf numFmtId="4" fontId="29" fillId="4" borderId="4" xfId="14" applyNumberFormat="1" applyFont="1" applyFill="1" applyBorder="1" applyAlignment="1">
      <alignment horizontal="center" vertical="center"/>
    </xf>
    <xf numFmtId="4" fontId="29" fillId="4" borderId="8" xfId="14" applyNumberFormat="1" applyFont="1" applyFill="1" applyBorder="1" applyAlignment="1">
      <alignment horizontal="center" vertical="center"/>
    </xf>
    <xf numFmtId="4" fontId="29" fillId="4" borderId="2" xfId="14" applyNumberFormat="1" applyFont="1" applyFill="1" applyBorder="1" applyAlignment="1">
      <alignment horizontal="center" vertical="center"/>
    </xf>
    <xf numFmtId="4" fontId="29" fillId="4" borderId="9" xfId="14" applyNumberFormat="1" applyFont="1" applyFill="1" applyBorder="1" applyAlignment="1">
      <alignment horizontal="center" vertical="center"/>
    </xf>
    <xf numFmtId="0" fontId="29" fillId="4" borderId="13" xfId="14" applyFont="1" applyFill="1" applyBorder="1" applyAlignment="1">
      <alignment horizontal="center" vertical="center"/>
    </xf>
    <xf numFmtId="0" fontId="29" fillId="4" borderId="12" xfId="14" applyFont="1" applyFill="1" applyBorder="1" applyAlignment="1">
      <alignment horizontal="center" vertical="center"/>
    </xf>
    <xf numFmtId="0" fontId="29" fillId="4" borderId="3" xfId="14" applyFont="1" applyFill="1" applyBorder="1" applyAlignment="1">
      <alignment horizontal="center" vertical="center"/>
    </xf>
    <xf numFmtId="0" fontId="29" fillId="4" borderId="0" xfId="14" applyFont="1" applyFill="1" applyAlignment="1">
      <alignment horizontal="center" vertical="center"/>
    </xf>
    <xf numFmtId="0" fontId="29" fillId="4" borderId="8" xfId="14" applyFont="1" applyFill="1" applyBorder="1" applyAlignment="1">
      <alignment horizontal="center" vertical="center"/>
    </xf>
    <xf numFmtId="0" fontId="29" fillId="4" borderId="2" xfId="14" applyFont="1" applyFill="1" applyBorder="1" applyAlignment="1">
      <alignment horizontal="center" vertical="center"/>
    </xf>
    <xf numFmtId="0" fontId="29" fillId="0" borderId="13" xfId="0" applyFont="1" applyBorder="1" applyAlignment="1">
      <alignment horizontal="left" vertical="center"/>
    </xf>
    <xf numFmtId="0" fontId="29" fillId="0" borderId="12" xfId="0" applyFont="1" applyBorder="1" applyAlignment="1">
      <alignment horizontal="left" vertical="center"/>
    </xf>
    <xf numFmtId="0" fontId="29" fillId="0" borderId="14" xfId="0" applyFont="1" applyBorder="1" applyAlignment="1">
      <alignment horizontal="left" vertical="center"/>
    </xf>
    <xf numFmtId="0" fontId="29" fillId="4" borderId="14" xfId="14" applyFont="1" applyFill="1" applyBorder="1" applyAlignment="1">
      <alignment horizontal="center" vertical="center"/>
    </xf>
    <xf numFmtId="0" fontId="29" fillId="4" borderId="4" xfId="14" applyFont="1" applyFill="1" applyBorder="1" applyAlignment="1">
      <alignment horizontal="center" vertical="center"/>
    </xf>
    <xf numFmtId="0" fontId="29" fillId="4" borderId="9" xfId="14" applyFont="1" applyFill="1" applyBorder="1" applyAlignment="1">
      <alignment horizontal="center" vertical="center"/>
    </xf>
    <xf numFmtId="3" fontId="29" fillId="4" borderId="13" xfId="14" applyNumberFormat="1" applyFont="1" applyFill="1" applyBorder="1" applyAlignment="1">
      <alignment horizontal="center" vertical="center"/>
    </xf>
    <xf numFmtId="3" fontId="29" fillId="4" borderId="12" xfId="14" applyNumberFormat="1" applyFont="1" applyFill="1" applyBorder="1" applyAlignment="1">
      <alignment horizontal="center" vertical="center"/>
    </xf>
    <xf numFmtId="3" fontId="29" fillId="4" borderId="14" xfId="14" applyNumberFormat="1" applyFont="1" applyFill="1" applyBorder="1" applyAlignment="1">
      <alignment horizontal="center" vertical="center"/>
    </xf>
    <xf numFmtId="3" fontId="29" fillId="4" borderId="3" xfId="14" applyNumberFormat="1" applyFont="1" applyFill="1" applyBorder="1" applyAlignment="1">
      <alignment horizontal="center" vertical="center"/>
    </xf>
    <xf numFmtId="3" fontId="29" fillId="4" borderId="0" xfId="14" applyNumberFormat="1" applyFont="1" applyFill="1" applyAlignment="1">
      <alignment horizontal="center" vertical="center"/>
    </xf>
    <xf numFmtId="3" fontId="29" fillId="4" borderId="4" xfId="14" applyNumberFormat="1" applyFont="1" applyFill="1" applyBorder="1" applyAlignment="1">
      <alignment horizontal="center" vertical="center"/>
    </xf>
    <xf numFmtId="3" fontId="29" fillId="4" borderId="8" xfId="14" applyNumberFormat="1" applyFont="1" applyFill="1" applyBorder="1" applyAlignment="1">
      <alignment horizontal="center" vertical="center"/>
    </xf>
    <xf numFmtId="3" fontId="29" fillId="4" borderId="2" xfId="14" applyNumberFormat="1" applyFont="1" applyFill="1" applyBorder="1" applyAlignment="1">
      <alignment horizontal="center" vertical="center"/>
    </xf>
    <xf numFmtId="3" fontId="29" fillId="4" borderId="9" xfId="14" applyNumberFormat="1" applyFont="1" applyFill="1" applyBorder="1" applyAlignment="1">
      <alignment horizontal="center" vertical="center"/>
    </xf>
    <xf numFmtId="4" fontId="29" fillId="6" borderId="13" xfId="14" applyNumberFormat="1" applyFont="1" applyFill="1" applyBorder="1" applyAlignment="1">
      <alignment horizontal="center" vertical="center"/>
    </xf>
    <xf numFmtId="4" fontId="29" fillId="6" borderId="12" xfId="14" applyNumberFormat="1" applyFont="1" applyFill="1" applyBorder="1" applyAlignment="1">
      <alignment horizontal="center" vertical="center"/>
    </xf>
    <xf numFmtId="4" fontId="29" fillId="6" borderId="14" xfId="14" applyNumberFormat="1" applyFont="1" applyFill="1" applyBorder="1" applyAlignment="1">
      <alignment horizontal="center" vertical="center"/>
    </xf>
    <xf numFmtId="4" fontId="29" fillId="6" borderId="3" xfId="14" applyNumberFormat="1" applyFont="1" applyFill="1" applyBorder="1" applyAlignment="1">
      <alignment horizontal="center" vertical="center"/>
    </xf>
    <xf numFmtId="4" fontId="29" fillId="6" borderId="0" xfId="14" applyNumberFormat="1" applyFont="1" applyFill="1" applyAlignment="1">
      <alignment horizontal="center" vertical="center"/>
    </xf>
    <xf numFmtId="4" fontId="29" fillId="6" borderId="4" xfId="14" applyNumberFormat="1" applyFont="1" applyFill="1" applyBorder="1" applyAlignment="1">
      <alignment horizontal="center" vertical="center"/>
    </xf>
    <xf numFmtId="4" fontId="29" fillId="6" borderId="8" xfId="14" applyNumberFormat="1" applyFont="1" applyFill="1" applyBorder="1" applyAlignment="1">
      <alignment horizontal="center" vertical="center"/>
    </xf>
    <xf numFmtId="4" fontId="29" fillId="6" borderId="2" xfId="14" applyNumberFormat="1" applyFont="1" applyFill="1" applyBorder="1" applyAlignment="1">
      <alignment horizontal="center" vertical="center"/>
    </xf>
    <xf numFmtId="4" fontId="29" fillId="6" borderId="9" xfId="14" applyNumberFormat="1" applyFont="1" applyFill="1" applyBorder="1" applyAlignment="1">
      <alignment horizontal="center" vertical="center"/>
    </xf>
  </cellXfs>
  <cellStyles count="16">
    <cellStyle name="Campo do Assistente de dados" xfId="1" xr:uid="{00000000-0005-0000-0000-000000000000}"/>
    <cellStyle name="Canto do Assistente de dados" xfId="2" xr:uid="{00000000-0005-0000-0000-000001000000}"/>
    <cellStyle name="Categoria do Assistente de dados" xfId="3" xr:uid="{00000000-0005-0000-0000-000002000000}"/>
    <cellStyle name="Heading" xfId="4" xr:uid="{00000000-0005-0000-0000-000003000000}"/>
    <cellStyle name="Heading1" xfId="5" xr:uid="{00000000-0005-0000-0000-000004000000}"/>
    <cellStyle name="Hiperlink" xfId="13" builtinId="8"/>
    <cellStyle name="Hiperlink 2" xfId="15" xr:uid="{3F403286-86D3-40CE-A906-AB001DD6A925}"/>
    <cellStyle name="Normal" xfId="0" builtinId="0" customBuiltin="1"/>
    <cellStyle name="Normal 2" xfId="6" xr:uid="{00000000-0005-0000-0000-000007000000}"/>
    <cellStyle name="Normal 3" xfId="7" xr:uid="{00000000-0005-0000-0000-000008000000}"/>
    <cellStyle name="Normal 4" xfId="14" xr:uid="{64DC6101-D195-4198-A447-7C435141BF6A}"/>
    <cellStyle name="Result" xfId="8" xr:uid="{00000000-0005-0000-0000-000009000000}"/>
    <cellStyle name="Result2" xfId="9" xr:uid="{00000000-0005-0000-0000-00000A000000}"/>
    <cellStyle name="Resultado do Assistente de dados" xfId="10" xr:uid="{00000000-0005-0000-0000-00000B000000}"/>
    <cellStyle name="Título do Assistente de dados" xfId="11" xr:uid="{00000000-0005-0000-0000-00000C000000}"/>
    <cellStyle name="Valor do Assistente de dados" xfId="12" xr:uid="{00000000-0005-0000-0000-00000D000000}"/>
  </cellStyles>
  <dxfs count="0"/>
  <tableStyles count="0" defaultTableStyle="TableStyleMedium9" defaultPivotStyle="PivotStyleLight16"/>
  <colors>
    <mruColors>
      <color rgb="FFFBFED0"/>
      <color rgb="FFBFF4AA"/>
      <color rgb="FFF5DDC7"/>
      <color rgb="FFFC429B"/>
      <color rgb="FFC52D75"/>
      <color rgb="FFF1EF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58636</xdr:colOff>
      <xdr:row>1</xdr:row>
      <xdr:rowOff>205292</xdr:rowOff>
    </xdr:from>
    <xdr:to>
      <xdr:col>20</xdr:col>
      <xdr:colOff>68662</xdr:colOff>
      <xdr:row>7</xdr:row>
      <xdr:rowOff>203947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07E25DF9-F70D-91BF-E7BA-89C461AB1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9507" y="411480"/>
          <a:ext cx="2905626" cy="1226820"/>
        </a:xfrm>
        <a:prstGeom prst="rect">
          <a:avLst/>
        </a:prstGeom>
      </xdr:spPr>
    </xdr:pic>
    <xdr:clientData/>
  </xdr:twoCellAnchor>
  <xdr:twoCellAnchor editAs="oneCell">
    <xdr:from>
      <xdr:col>3</xdr:col>
      <xdr:colOff>55947</xdr:colOff>
      <xdr:row>2</xdr:row>
      <xdr:rowOff>0</xdr:rowOff>
    </xdr:from>
    <xdr:to>
      <xdr:col>20</xdr:col>
      <xdr:colOff>111693</xdr:colOff>
      <xdr:row>8</xdr:row>
      <xdr:rowOff>0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44748F9B-FCDE-F776-6F71-14A8E83BE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3687" y="411480"/>
          <a:ext cx="2905626" cy="122682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</xdr:colOff>
          <xdr:row>21</xdr:row>
          <xdr:rowOff>89648</xdr:rowOff>
        </xdr:from>
        <xdr:to>
          <xdr:col>1</xdr:col>
          <xdr:colOff>68580</xdr:colOff>
          <xdr:row>23</xdr:row>
          <xdr:rowOff>7621</xdr:rowOff>
        </xdr:to>
        <xdr:sp macro="" textlink="">
          <xdr:nvSpPr>
            <xdr:cNvPr id="1027" name="novo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77545</xdr:colOff>
          <xdr:row>23</xdr:row>
          <xdr:rowOff>109369</xdr:rowOff>
        </xdr:from>
        <xdr:to>
          <xdr:col>1</xdr:col>
          <xdr:colOff>77545</xdr:colOff>
          <xdr:row>25</xdr:row>
          <xdr:rowOff>25549</xdr:rowOff>
        </xdr:to>
        <xdr:sp macro="" textlink="">
          <xdr:nvSpPr>
            <xdr:cNvPr id="1028" name="atualizar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159F221F-C45E-43CB-CE30-81F9B9EE10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67236</xdr:colOff>
          <xdr:row>25</xdr:row>
          <xdr:rowOff>115645</xdr:rowOff>
        </xdr:from>
        <xdr:to>
          <xdr:col>1</xdr:col>
          <xdr:colOff>67236</xdr:colOff>
          <xdr:row>27</xdr:row>
          <xdr:rowOff>31825</xdr:rowOff>
        </xdr:to>
        <xdr:sp macro="" textlink="">
          <xdr:nvSpPr>
            <xdr:cNvPr id="1029" name="gravar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B30381D0-BE9B-19F9-CB72-B5FDFD19E5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77544</xdr:colOff>
          <xdr:row>28</xdr:row>
          <xdr:rowOff>6724</xdr:rowOff>
        </xdr:from>
        <xdr:to>
          <xdr:col>1</xdr:col>
          <xdr:colOff>77544</xdr:colOff>
          <xdr:row>29</xdr:row>
          <xdr:rowOff>129092</xdr:rowOff>
        </xdr:to>
        <xdr:sp macro="" textlink="">
          <xdr:nvSpPr>
            <xdr:cNvPr id="1030" name="excluir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645DCC04-8C06-C626-7726-8D10DA22EF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comercial@serraplast.com.br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adm@granjaitu.com.br" TargetMode="External"/><Relationship Id="rId1" Type="http://schemas.openxmlformats.org/officeDocument/2006/relationships/hyperlink" Target="mailto:adm@granjaitu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42C9E-BD7D-44B8-B1D0-A9F383DADAA2}">
  <sheetPr codeName="Planilha1"/>
  <dimension ref="A1:BH344"/>
  <sheetViews>
    <sheetView showGridLines="0" tabSelected="1" topLeftCell="A2" zoomScale="85" zoomScaleNormal="85" workbookViewId="0">
      <selection activeCell="A22" sqref="A22"/>
    </sheetView>
  </sheetViews>
  <sheetFormatPr defaultRowHeight="14.4" x14ac:dyDescent="0.3"/>
  <cols>
    <col min="1" max="1" width="8.21875" style="162" customWidth="1"/>
    <col min="2" max="2" width="3.44140625" style="162" customWidth="1"/>
    <col min="3" max="11" width="2.44140625" style="162" customWidth="1"/>
    <col min="12" max="12" width="3.33203125" style="162" customWidth="1"/>
    <col min="13" max="18" width="2.44140625" style="162" customWidth="1"/>
    <col min="19" max="19" width="2.5546875" style="162" customWidth="1"/>
    <col min="20" max="20" width="1.44140625" style="162" customWidth="1"/>
    <col min="21" max="21" width="2.44140625" style="162" customWidth="1"/>
    <col min="22" max="22" width="2.6640625" style="162" customWidth="1"/>
    <col min="23" max="23" width="2.44140625" style="162" customWidth="1"/>
    <col min="24" max="24" width="1.44140625" style="162" customWidth="1"/>
    <col min="25" max="25" width="3" style="162" customWidth="1"/>
    <col min="26" max="27" width="2.44140625" style="162" customWidth="1"/>
    <col min="28" max="28" width="4.109375" style="162" customWidth="1"/>
    <col min="29" max="31" width="2.44140625" style="162" customWidth="1"/>
    <col min="32" max="32" width="1.109375" style="162" customWidth="1"/>
    <col min="33" max="33" width="2.44140625" style="162" customWidth="1"/>
    <col min="34" max="34" width="6.88671875" style="162" customWidth="1"/>
    <col min="35" max="35" width="3.6640625" style="162" customWidth="1"/>
    <col min="36" max="36" width="1.33203125" style="162" customWidth="1"/>
    <col min="37" max="37" width="3.33203125" style="162" customWidth="1"/>
    <col min="38" max="38" width="2.44140625" style="162" customWidth="1"/>
    <col min="39" max="39" width="9.5546875" style="162" customWidth="1"/>
    <col min="40" max="40" width="2.44140625" style="162" customWidth="1"/>
    <col min="41" max="41" width="1.33203125" style="162" customWidth="1"/>
    <col min="42" max="42" width="3.44140625" style="162" customWidth="1"/>
    <col min="43" max="43" width="2.44140625" style="162" customWidth="1"/>
    <col min="44" max="44" width="12" style="162" customWidth="1"/>
    <col min="45" max="45" width="2.44140625" style="162" customWidth="1"/>
    <col min="46" max="46" width="1.6640625" style="162" customWidth="1"/>
    <col min="47" max="47" width="2.109375" style="162" customWidth="1"/>
    <col min="48" max="48" width="18.109375" style="162" customWidth="1"/>
    <col min="49" max="49" width="3.109375" style="162" customWidth="1"/>
    <col min="50" max="50" width="1.5546875" style="162" customWidth="1"/>
    <col min="51" max="51" width="3" style="162" customWidth="1"/>
    <col min="52" max="52" width="1.88671875" style="162" customWidth="1"/>
    <col min="53" max="53" width="2.44140625" style="162" customWidth="1"/>
    <col min="54" max="55" width="2.109375" style="162" customWidth="1"/>
    <col min="56" max="56" width="16" style="162" customWidth="1"/>
    <col min="57" max="60" width="2.44140625" style="162" customWidth="1"/>
    <col min="61" max="61" width="9.109375" style="162" customWidth="1"/>
    <col min="62" max="16384" width="8.88671875" style="162"/>
  </cols>
  <sheetData>
    <row r="1" spans="1:60" ht="16.2" thickBot="1" x14ac:dyDescent="0.35">
      <c r="C1" s="159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60"/>
      <c r="AE1" s="160"/>
      <c r="AF1" s="160"/>
      <c r="AG1" s="160"/>
      <c r="AH1" s="160"/>
      <c r="AI1" s="160"/>
      <c r="AJ1" s="160"/>
      <c r="AK1" s="160"/>
      <c r="AL1" s="160"/>
      <c r="AM1" s="160"/>
      <c r="AN1" s="160"/>
      <c r="AO1" s="160"/>
      <c r="AP1" s="160"/>
      <c r="AQ1" s="160"/>
      <c r="AR1" s="160"/>
      <c r="AS1" s="160"/>
      <c r="AT1" s="160"/>
      <c r="AU1" s="160"/>
      <c r="AV1" s="160"/>
      <c r="AW1" s="160"/>
      <c r="AX1" s="160"/>
      <c r="AY1" s="160"/>
      <c r="AZ1" s="160"/>
      <c r="BA1" s="160"/>
      <c r="BB1" s="160"/>
      <c r="BC1" s="160"/>
      <c r="BD1" s="160"/>
      <c r="BE1" s="160"/>
      <c r="BF1" s="160"/>
      <c r="BG1" s="161"/>
      <c r="BH1" s="161"/>
    </row>
    <row r="2" spans="1:60" ht="16.2" thickBot="1" x14ac:dyDescent="0.35">
      <c r="C2" s="163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0"/>
      <c r="R2" s="160"/>
      <c r="S2" s="160"/>
      <c r="T2" s="160"/>
      <c r="U2" s="160"/>
      <c r="V2" s="160"/>
      <c r="W2" s="160"/>
      <c r="X2" s="160"/>
      <c r="Y2" s="160"/>
      <c r="Z2" s="160"/>
      <c r="AA2" s="160"/>
      <c r="AB2" s="160"/>
      <c r="AC2" s="160"/>
      <c r="AD2" s="160"/>
      <c r="AE2" s="160"/>
      <c r="AF2" s="160"/>
      <c r="AG2" s="160"/>
      <c r="AH2" s="160"/>
      <c r="AI2" s="160"/>
      <c r="AJ2" s="160"/>
      <c r="AK2" s="160"/>
      <c r="AL2" s="160"/>
      <c r="AM2" s="160"/>
      <c r="AN2" s="160"/>
      <c r="AO2" s="160"/>
      <c r="AP2" s="160"/>
      <c r="AQ2" s="160"/>
      <c r="AR2" s="160"/>
      <c r="AS2" s="160"/>
      <c r="AT2" s="160"/>
      <c r="AU2" s="160"/>
      <c r="AV2" s="160"/>
      <c r="AW2" s="160"/>
      <c r="AX2" s="160"/>
      <c r="AY2" s="160"/>
      <c r="AZ2" s="160"/>
      <c r="BA2" s="160"/>
      <c r="BB2" s="160"/>
      <c r="BC2" s="160"/>
      <c r="BD2" s="160"/>
      <c r="BE2" s="160"/>
      <c r="BF2" s="160"/>
      <c r="BG2" s="161"/>
      <c r="BH2" s="164"/>
    </row>
    <row r="3" spans="1:60" ht="15.6" x14ac:dyDescent="0.3">
      <c r="C3" s="163"/>
      <c r="D3" s="240" t="s">
        <v>172</v>
      </c>
      <c r="E3" s="241"/>
      <c r="F3" s="241"/>
      <c r="G3" s="241"/>
      <c r="H3" s="241"/>
      <c r="I3" s="241"/>
      <c r="J3" s="241"/>
      <c r="K3" s="241"/>
      <c r="L3" s="241"/>
      <c r="M3" s="241"/>
      <c r="N3" s="241"/>
      <c r="O3" s="241"/>
      <c r="P3" s="241"/>
      <c r="Q3" s="241"/>
      <c r="R3" s="241"/>
      <c r="S3" s="241"/>
      <c r="T3" s="241"/>
      <c r="U3" s="241"/>
      <c r="V3" s="165"/>
      <c r="W3" s="165"/>
      <c r="X3" s="165"/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5"/>
      <c r="AJ3" s="165"/>
      <c r="AK3" s="165"/>
      <c r="AL3" s="165"/>
      <c r="AM3" s="165"/>
      <c r="AN3" s="165"/>
      <c r="AO3" s="165"/>
      <c r="AP3" s="165"/>
      <c r="AQ3" s="165"/>
      <c r="AR3" s="165"/>
      <c r="AS3" s="165"/>
      <c r="AT3" s="165"/>
      <c r="AU3" s="165"/>
      <c r="AV3" s="165"/>
      <c r="AW3" s="165"/>
      <c r="AX3" s="165"/>
      <c r="AY3" s="165"/>
      <c r="AZ3" s="165"/>
      <c r="BA3" s="165"/>
      <c r="BB3" s="165"/>
      <c r="BC3" s="165"/>
      <c r="BD3" s="165"/>
      <c r="BE3" s="165"/>
      <c r="BF3" s="165"/>
      <c r="BG3" s="164"/>
      <c r="BH3" s="164"/>
    </row>
    <row r="4" spans="1:60" ht="16.2" thickBot="1" x14ac:dyDescent="0.35">
      <c r="C4" s="163"/>
      <c r="D4" s="242"/>
      <c r="E4" s="243"/>
      <c r="F4" s="243"/>
      <c r="G4" s="243"/>
      <c r="H4" s="243"/>
      <c r="I4" s="243"/>
      <c r="J4" s="243"/>
      <c r="K4" s="243"/>
      <c r="L4" s="243"/>
      <c r="M4" s="243"/>
      <c r="N4" s="243"/>
      <c r="O4" s="243"/>
      <c r="P4" s="243"/>
      <c r="Q4" s="243"/>
      <c r="R4" s="243"/>
      <c r="S4" s="243"/>
      <c r="T4" s="243"/>
      <c r="U4" s="243"/>
      <c r="V4" s="165"/>
      <c r="W4" s="165"/>
      <c r="X4" s="165"/>
      <c r="Y4" s="165"/>
      <c r="Z4" s="165"/>
      <c r="AA4" s="166"/>
      <c r="AB4" s="165"/>
      <c r="AC4" s="165"/>
      <c r="AD4" s="165"/>
      <c r="AE4" s="165"/>
      <c r="AF4" s="165"/>
      <c r="AG4" s="165"/>
      <c r="AH4" s="165"/>
      <c r="AI4" s="165"/>
      <c r="AJ4" s="165"/>
      <c r="AK4" s="165"/>
      <c r="AL4" s="165"/>
      <c r="AM4" s="165"/>
      <c r="AN4" s="165"/>
      <c r="AO4" s="165"/>
      <c r="AP4" s="165"/>
      <c r="AQ4" s="165"/>
      <c r="AR4" s="165"/>
      <c r="AS4" s="167"/>
      <c r="AT4" s="165"/>
      <c r="AU4" s="165"/>
      <c r="AV4" s="165"/>
      <c r="AW4" s="215" t="s">
        <v>90</v>
      </c>
      <c r="AX4" s="215"/>
      <c r="AY4" s="215"/>
      <c r="AZ4" s="215"/>
      <c r="BA4" s="215"/>
      <c r="BB4" s="215"/>
      <c r="BC4" s="215"/>
      <c r="BD4" s="215"/>
      <c r="BE4" s="215"/>
      <c r="BF4" s="215"/>
      <c r="BG4" s="164"/>
      <c r="BH4" s="164"/>
    </row>
    <row r="5" spans="1:60" ht="16.2" thickBot="1" x14ac:dyDescent="0.35">
      <c r="A5" s="214"/>
      <c r="C5" s="163"/>
      <c r="D5" s="242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  <c r="V5" s="165"/>
      <c r="W5" s="165"/>
      <c r="X5" s="165"/>
      <c r="Y5" s="165"/>
      <c r="Z5" s="165"/>
      <c r="AA5" s="166" t="s">
        <v>91</v>
      </c>
      <c r="AB5" s="165"/>
      <c r="AC5" s="165"/>
      <c r="AD5" s="165"/>
      <c r="AE5" s="165"/>
      <c r="AF5" s="165"/>
      <c r="AG5" s="165"/>
      <c r="AH5" s="165"/>
      <c r="AI5" s="165"/>
      <c r="AJ5" s="165"/>
      <c r="AK5" s="165"/>
      <c r="AL5" s="165"/>
      <c r="AM5" s="165"/>
      <c r="AN5" s="165"/>
      <c r="AO5" s="165"/>
      <c r="AP5" s="165"/>
      <c r="AQ5" s="165"/>
      <c r="AR5" s="165"/>
      <c r="AS5" s="167"/>
      <c r="AT5" s="165"/>
      <c r="AU5" s="165"/>
      <c r="AV5" s="165"/>
      <c r="AW5" s="216" t="s">
        <v>92</v>
      </c>
      <c r="AX5" s="217"/>
      <c r="AY5" s="217"/>
      <c r="AZ5" s="217"/>
      <c r="BA5" s="217"/>
      <c r="BB5" s="217"/>
      <c r="BC5" s="217"/>
      <c r="BD5" s="217"/>
      <c r="BE5" s="217"/>
      <c r="BF5" s="218"/>
      <c r="BG5" s="164"/>
      <c r="BH5" s="164"/>
    </row>
    <row r="6" spans="1:60" ht="16.2" thickBot="1" x14ac:dyDescent="0.35">
      <c r="C6" s="163"/>
      <c r="D6" s="242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  <c r="V6" s="165"/>
      <c r="W6" s="165"/>
      <c r="X6" s="165"/>
      <c r="Y6" s="165"/>
      <c r="Z6" s="165"/>
      <c r="AA6" s="165"/>
      <c r="AB6" s="165"/>
      <c r="AC6" s="165"/>
      <c r="AD6" s="165"/>
      <c r="AE6" s="165"/>
      <c r="AF6" s="165"/>
      <c r="AG6" s="165"/>
      <c r="AH6" s="165"/>
      <c r="AI6" s="166" t="s">
        <v>93</v>
      </c>
      <c r="AJ6" s="165"/>
      <c r="AK6" s="165"/>
      <c r="AL6" s="165"/>
      <c r="AM6" s="165"/>
      <c r="AN6" s="165"/>
      <c r="AO6" s="165"/>
      <c r="AP6" s="165"/>
      <c r="AQ6" s="165"/>
      <c r="AR6" s="165"/>
      <c r="AS6" s="165"/>
      <c r="AT6" s="165"/>
      <c r="AU6" s="165"/>
      <c r="AV6" s="165"/>
      <c r="AW6" s="219" t="s">
        <v>94</v>
      </c>
      <c r="AX6" s="220"/>
      <c r="AY6" s="220"/>
      <c r="AZ6" s="220"/>
      <c r="BA6" s="221"/>
      <c r="BB6" s="216" t="s">
        <v>95</v>
      </c>
      <c r="BC6" s="217"/>
      <c r="BD6" s="217"/>
      <c r="BE6" s="217"/>
      <c r="BF6" s="218"/>
      <c r="BG6" s="164"/>
      <c r="BH6" s="164"/>
    </row>
    <row r="7" spans="1:60" ht="16.2" thickBot="1" x14ac:dyDescent="0.35">
      <c r="C7" s="163"/>
      <c r="D7" s="242"/>
      <c r="E7" s="243"/>
      <c r="F7" s="243"/>
      <c r="G7" s="243"/>
      <c r="H7" s="243"/>
      <c r="I7" s="243"/>
      <c r="J7" s="243"/>
      <c r="K7" s="243"/>
      <c r="L7" s="243"/>
      <c r="M7" s="243"/>
      <c r="N7" s="243"/>
      <c r="O7" s="243"/>
      <c r="P7" s="243"/>
      <c r="Q7" s="243"/>
      <c r="R7" s="243"/>
      <c r="S7" s="243"/>
      <c r="T7" s="243"/>
      <c r="U7" s="243"/>
      <c r="V7" s="165"/>
      <c r="W7" s="165"/>
      <c r="X7" s="165"/>
      <c r="Y7" s="165"/>
      <c r="Z7" s="165"/>
      <c r="AA7" s="165"/>
      <c r="AB7" s="165"/>
      <c r="AC7" s="165"/>
      <c r="AD7" s="165"/>
      <c r="AE7" s="165"/>
      <c r="AF7" s="165"/>
      <c r="AG7" s="165"/>
      <c r="AH7" s="165"/>
      <c r="AI7" s="165"/>
      <c r="AJ7" s="165"/>
      <c r="AK7" s="165"/>
      <c r="AL7" s="165"/>
      <c r="AM7" s="165"/>
      <c r="AN7" s="165"/>
      <c r="AO7" s="165"/>
      <c r="AP7" s="165"/>
      <c r="AQ7" s="165"/>
      <c r="AR7" s="165"/>
      <c r="AS7" s="165"/>
      <c r="AT7" s="165"/>
      <c r="AU7" s="165"/>
      <c r="AV7" s="168"/>
      <c r="AW7" s="219" t="s">
        <v>96</v>
      </c>
      <c r="AX7" s="220"/>
      <c r="AY7" s="220"/>
      <c r="AZ7" s="220"/>
      <c r="BA7" s="221"/>
      <c r="BB7" s="222" t="s">
        <v>97</v>
      </c>
      <c r="BC7" s="223"/>
      <c r="BD7" s="223"/>
      <c r="BE7" s="223"/>
      <c r="BF7" s="224"/>
      <c r="BG7" s="164"/>
      <c r="BH7" s="164"/>
    </row>
    <row r="8" spans="1:60" ht="16.2" thickBot="1" x14ac:dyDescent="0.35">
      <c r="C8" s="163"/>
      <c r="D8" s="244"/>
      <c r="E8" s="245"/>
      <c r="F8" s="245"/>
      <c r="G8" s="245"/>
      <c r="H8" s="245"/>
      <c r="I8" s="245"/>
      <c r="J8" s="245"/>
      <c r="K8" s="245"/>
      <c r="L8" s="245"/>
      <c r="M8" s="245"/>
      <c r="N8" s="245"/>
      <c r="O8" s="245"/>
      <c r="P8" s="245"/>
      <c r="Q8" s="245"/>
      <c r="R8" s="245"/>
      <c r="S8" s="245"/>
      <c r="T8" s="245"/>
      <c r="U8" s="245"/>
      <c r="V8" s="160"/>
      <c r="W8" s="160"/>
      <c r="X8" s="160"/>
      <c r="Y8" s="160"/>
      <c r="Z8" s="160"/>
      <c r="AA8" s="160"/>
      <c r="AB8" s="160"/>
      <c r="AC8" s="160"/>
      <c r="AD8" s="160"/>
      <c r="AE8" s="160"/>
      <c r="AF8" s="160"/>
      <c r="AG8" s="160"/>
      <c r="AH8" s="160"/>
      <c r="AI8" s="160"/>
      <c r="AJ8" s="160"/>
      <c r="AK8" s="160"/>
      <c r="AL8" s="160"/>
      <c r="AM8" s="160"/>
      <c r="AN8" s="160"/>
      <c r="AO8" s="160"/>
      <c r="AP8" s="160"/>
      <c r="AQ8" s="160"/>
      <c r="AR8" s="160"/>
      <c r="AS8" s="160"/>
      <c r="AT8" s="160"/>
      <c r="AU8" s="160"/>
      <c r="AV8" s="160"/>
      <c r="AW8" s="160"/>
      <c r="AX8" s="160"/>
      <c r="AY8" s="160"/>
      <c r="AZ8" s="160"/>
      <c r="BA8" s="160"/>
      <c r="BB8" s="160"/>
      <c r="BC8" s="160"/>
      <c r="BD8" s="160"/>
      <c r="BE8" s="160"/>
      <c r="BF8" s="160"/>
      <c r="BG8" s="169"/>
      <c r="BH8" s="164"/>
    </row>
    <row r="9" spans="1:60" ht="16.2" thickBot="1" x14ac:dyDescent="0.35">
      <c r="A9" s="189" t="s">
        <v>174</v>
      </c>
      <c r="C9" s="163"/>
      <c r="D9" s="165"/>
      <c r="E9" s="165"/>
      <c r="F9" s="165"/>
      <c r="G9" s="165"/>
      <c r="H9" s="165"/>
      <c r="I9" s="165"/>
      <c r="J9" s="165"/>
      <c r="K9" s="165"/>
      <c r="L9" s="165"/>
      <c r="M9" s="165"/>
      <c r="N9" s="165"/>
      <c r="O9" s="165"/>
      <c r="P9" s="165"/>
      <c r="Q9" s="165"/>
      <c r="R9" s="165"/>
      <c r="S9" s="165"/>
      <c r="T9" s="165"/>
      <c r="U9" s="165"/>
      <c r="V9" s="165"/>
      <c r="W9" s="165"/>
      <c r="X9" s="165"/>
      <c r="Y9" s="165"/>
      <c r="Z9" s="165"/>
      <c r="AA9" s="165"/>
      <c r="AB9" s="165"/>
      <c r="AC9" s="165"/>
      <c r="AD9" s="165"/>
      <c r="AE9" s="165"/>
      <c r="AF9" s="165"/>
      <c r="AG9" s="165"/>
      <c r="AH9" s="165"/>
      <c r="AI9" s="165"/>
      <c r="AJ9" s="165"/>
      <c r="AK9" s="165"/>
      <c r="AL9" s="165"/>
      <c r="AM9" s="165"/>
      <c r="AN9" s="165"/>
      <c r="AO9" s="165"/>
      <c r="AP9" s="165"/>
      <c r="AQ9" s="165"/>
      <c r="AR9" s="165"/>
      <c r="AS9" s="165"/>
      <c r="AT9" s="165"/>
      <c r="AU9" s="165"/>
      <c r="AV9" s="165"/>
      <c r="AW9" s="165"/>
      <c r="AX9" s="165"/>
      <c r="AY9" s="165"/>
      <c r="AZ9" s="165"/>
      <c r="BA9" s="165"/>
      <c r="BB9" s="165"/>
      <c r="BC9" s="165"/>
      <c r="BD9" s="165"/>
      <c r="BE9" s="165"/>
      <c r="BF9" s="165"/>
      <c r="BH9" s="164"/>
    </row>
    <row r="10" spans="1:60" ht="16.2" thickBot="1" x14ac:dyDescent="0.35">
      <c r="A10" s="191" t="s">
        <v>83</v>
      </c>
      <c r="C10" s="163"/>
      <c r="D10" s="231" t="s">
        <v>187</v>
      </c>
      <c r="E10" s="232"/>
      <c r="F10" s="232"/>
      <c r="G10" s="232"/>
      <c r="H10" s="232"/>
      <c r="I10" s="232"/>
      <c r="J10" s="233"/>
      <c r="K10" s="234" t="s">
        <v>83</v>
      </c>
      <c r="L10" s="235"/>
      <c r="M10" s="235"/>
      <c r="N10" s="235"/>
      <c r="O10" s="235"/>
      <c r="P10" s="235"/>
      <c r="Q10" s="235"/>
      <c r="R10" s="235"/>
      <c r="S10" s="235"/>
      <c r="T10" s="235"/>
      <c r="U10" s="235"/>
      <c r="V10" s="235"/>
      <c r="W10" s="235"/>
      <c r="X10" s="235"/>
      <c r="Y10" s="235"/>
      <c r="Z10" s="235"/>
      <c r="AA10" s="235"/>
      <c r="AB10" s="235"/>
      <c r="AC10" s="235"/>
      <c r="AD10" s="235"/>
      <c r="AE10" s="235"/>
      <c r="AF10" s="235"/>
      <c r="AG10" s="235"/>
      <c r="AH10" s="235"/>
      <c r="AI10" s="235"/>
      <c r="AJ10" s="235"/>
      <c r="AK10" s="235"/>
      <c r="AL10" s="235"/>
      <c r="AM10" s="235"/>
      <c r="AN10" s="235"/>
      <c r="AO10" s="235"/>
      <c r="AP10" s="235"/>
      <c r="AQ10" s="235"/>
      <c r="AR10" s="235"/>
      <c r="AS10" s="235"/>
      <c r="AT10" s="235"/>
      <c r="AU10" s="235"/>
      <c r="AV10" s="235"/>
      <c r="AW10" s="235"/>
      <c r="AX10" s="235"/>
      <c r="AY10" s="235"/>
      <c r="AZ10" s="235"/>
      <c r="BA10" s="235"/>
      <c r="BB10" s="235"/>
      <c r="BC10" s="235"/>
      <c r="BD10" s="235"/>
      <c r="BE10" s="235"/>
      <c r="BF10" s="235"/>
      <c r="BG10" s="236"/>
      <c r="BH10" s="164"/>
    </row>
    <row r="11" spans="1:60" ht="16.2" thickBot="1" x14ac:dyDescent="0.35">
      <c r="C11" s="163"/>
      <c r="D11" s="231" t="s">
        <v>98</v>
      </c>
      <c r="E11" s="232"/>
      <c r="F11" s="232"/>
      <c r="G11" s="232"/>
      <c r="H11" s="232"/>
      <c r="I11" s="232"/>
      <c r="J11" s="233"/>
      <c r="K11" s="228" t="s">
        <v>99</v>
      </c>
      <c r="L11" s="229"/>
      <c r="M11" s="229"/>
      <c r="N11" s="229"/>
      <c r="O11" s="229"/>
      <c r="P11" s="229"/>
      <c r="Q11" s="229"/>
      <c r="R11" s="229"/>
      <c r="S11" s="229"/>
      <c r="T11" s="229"/>
      <c r="U11" s="229"/>
      <c r="V11" s="229"/>
      <c r="W11" s="229"/>
      <c r="X11" s="229"/>
      <c r="Y11" s="229"/>
      <c r="Z11" s="229"/>
      <c r="AA11" s="229"/>
      <c r="AB11" s="229"/>
      <c r="AC11" s="229"/>
      <c r="AD11" s="229"/>
      <c r="AE11" s="229"/>
      <c r="AF11" s="229"/>
      <c r="AG11" s="229"/>
      <c r="AH11" s="229"/>
      <c r="AI11" s="229"/>
      <c r="AJ11" s="229"/>
      <c r="AK11" s="229"/>
      <c r="AL11" s="229"/>
      <c r="AM11" s="229"/>
      <c r="AN11" s="230"/>
      <c r="AO11" s="225" t="s">
        <v>113</v>
      </c>
      <c r="AP11" s="226"/>
      <c r="AQ11" s="227"/>
      <c r="AR11" s="193">
        <v>97</v>
      </c>
      <c r="AS11" s="231" t="s">
        <v>100</v>
      </c>
      <c r="AT11" s="232"/>
      <c r="AU11" s="233"/>
      <c r="AV11" s="194" t="s">
        <v>101</v>
      </c>
      <c r="AW11" s="231" t="s">
        <v>102</v>
      </c>
      <c r="AX11" s="232"/>
      <c r="AY11" s="232"/>
      <c r="AZ11" s="232"/>
      <c r="BA11" s="232"/>
      <c r="BB11" s="232"/>
      <c r="BC11" s="233"/>
      <c r="BD11" s="237">
        <v>1111</v>
      </c>
      <c r="BE11" s="238"/>
      <c r="BF11" s="238"/>
      <c r="BG11" s="239"/>
      <c r="BH11" s="164"/>
    </row>
    <row r="12" spans="1:60" ht="16.2" thickBot="1" x14ac:dyDescent="0.35">
      <c r="C12" s="163"/>
      <c r="D12" s="225" t="s">
        <v>103</v>
      </c>
      <c r="E12" s="226"/>
      <c r="F12" s="226"/>
      <c r="G12" s="226"/>
      <c r="H12" s="226"/>
      <c r="I12" s="226"/>
      <c r="J12" s="227"/>
      <c r="K12" s="228" t="s">
        <v>104</v>
      </c>
      <c r="L12" s="229"/>
      <c r="M12" s="229"/>
      <c r="N12" s="229"/>
      <c r="O12" s="229"/>
      <c r="P12" s="229"/>
      <c r="Q12" s="229"/>
      <c r="R12" s="229"/>
      <c r="S12" s="229"/>
      <c r="T12" s="229"/>
      <c r="U12" s="229"/>
      <c r="V12" s="229"/>
      <c r="W12" s="230"/>
      <c r="X12" s="231" t="s">
        <v>105</v>
      </c>
      <c r="Y12" s="232"/>
      <c r="Z12" s="232"/>
      <c r="AA12" s="232"/>
      <c r="AB12" s="232"/>
      <c r="AC12" s="232"/>
      <c r="AD12" s="232"/>
      <c r="AE12" s="232"/>
      <c r="AF12" s="232"/>
      <c r="AG12" s="232"/>
      <c r="AH12" s="232"/>
      <c r="AI12" s="233"/>
      <c r="AJ12" s="228" t="s">
        <v>106</v>
      </c>
      <c r="AK12" s="229"/>
      <c r="AL12" s="229"/>
      <c r="AM12" s="229"/>
      <c r="AN12" s="229"/>
      <c r="AO12" s="229"/>
      <c r="AP12" s="229"/>
      <c r="AQ12" s="229"/>
      <c r="AR12" s="229"/>
      <c r="AS12" s="229"/>
      <c r="AT12" s="229"/>
      <c r="AU12" s="229"/>
      <c r="AV12" s="229"/>
      <c r="AW12" s="229"/>
      <c r="AX12" s="230"/>
      <c r="AY12" s="231" t="s">
        <v>107</v>
      </c>
      <c r="AZ12" s="232"/>
      <c r="BA12" s="232"/>
      <c r="BB12" s="232"/>
      <c r="BC12" s="233"/>
      <c r="BD12" s="228" t="s">
        <v>159</v>
      </c>
      <c r="BE12" s="229"/>
      <c r="BF12" s="229"/>
      <c r="BG12" s="230"/>
      <c r="BH12" s="164"/>
    </row>
    <row r="13" spans="1:60" ht="16.2" thickBot="1" x14ac:dyDescent="0.35">
      <c r="C13" s="163"/>
      <c r="D13" s="231" t="s">
        <v>108</v>
      </c>
      <c r="E13" s="232"/>
      <c r="F13" s="232"/>
      <c r="G13" s="232"/>
      <c r="H13" s="232"/>
      <c r="I13" s="232"/>
      <c r="J13" s="233"/>
      <c r="K13" s="249" t="s">
        <v>109</v>
      </c>
      <c r="L13" s="250"/>
      <c r="M13" s="250"/>
      <c r="N13" s="250"/>
      <c r="O13" s="250"/>
      <c r="P13" s="250"/>
      <c r="Q13" s="250"/>
      <c r="R13" s="250"/>
      <c r="S13" s="250"/>
      <c r="T13" s="250"/>
      <c r="U13" s="250"/>
      <c r="V13" s="250"/>
      <c r="W13" s="251"/>
      <c r="X13" s="231" t="s">
        <v>110</v>
      </c>
      <c r="Y13" s="232"/>
      <c r="Z13" s="232"/>
      <c r="AA13" s="233"/>
      <c r="AB13" s="252" t="s">
        <v>160</v>
      </c>
      <c r="AC13" s="253"/>
      <c r="AD13" s="253"/>
      <c r="AE13" s="253"/>
      <c r="AF13" s="253"/>
      <c r="AG13" s="253"/>
      <c r="AH13" s="253"/>
      <c r="AI13" s="254"/>
      <c r="AJ13" s="231" t="s">
        <v>111</v>
      </c>
      <c r="AK13" s="232"/>
      <c r="AL13" s="232"/>
      <c r="AM13" s="232"/>
      <c r="AN13" s="232"/>
      <c r="AO13" s="232"/>
      <c r="AP13" s="232"/>
      <c r="AQ13" s="232"/>
      <c r="AR13" s="233"/>
      <c r="AS13" s="255">
        <v>254729215</v>
      </c>
      <c r="AT13" s="256"/>
      <c r="AU13" s="256"/>
      <c r="AV13" s="257"/>
      <c r="AW13" s="231" t="s">
        <v>112</v>
      </c>
      <c r="AX13" s="232"/>
      <c r="AY13" s="232"/>
      <c r="AZ13" s="233"/>
      <c r="BA13" s="246" t="s">
        <v>161</v>
      </c>
      <c r="BB13" s="247"/>
      <c r="BC13" s="247"/>
      <c r="BD13" s="247"/>
      <c r="BE13" s="247"/>
      <c r="BF13" s="247"/>
      <c r="BG13" s="248"/>
      <c r="BH13" s="164"/>
    </row>
    <row r="14" spans="1:60" ht="16.2" thickBot="1" x14ac:dyDescent="0.35">
      <c r="A14" s="189" t="s">
        <v>173</v>
      </c>
      <c r="C14" s="163"/>
      <c r="D14" s="195"/>
      <c r="E14" s="195"/>
      <c r="F14" s="195"/>
      <c r="G14" s="195"/>
      <c r="H14" s="195"/>
      <c r="I14" s="195"/>
      <c r="J14" s="195"/>
      <c r="K14" s="195"/>
      <c r="L14" s="196"/>
      <c r="M14" s="196"/>
      <c r="N14" s="196"/>
      <c r="O14" s="196"/>
      <c r="P14" s="196"/>
      <c r="Q14" s="196"/>
      <c r="R14" s="196"/>
      <c r="S14" s="196"/>
      <c r="T14" s="196"/>
      <c r="U14" s="196"/>
      <c r="V14" s="196"/>
      <c r="W14" s="196"/>
      <c r="X14" s="196"/>
      <c r="Y14" s="196"/>
      <c r="Z14" s="196"/>
      <c r="AA14" s="196"/>
      <c r="AB14" s="196"/>
      <c r="AC14" s="196"/>
      <c r="AD14" s="196"/>
      <c r="AE14" s="196"/>
      <c r="AF14" s="196"/>
      <c r="AG14" s="196"/>
      <c r="AH14" s="196"/>
      <c r="AI14" s="196"/>
      <c r="AJ14" s="196"/>
      <c r="AK14" s="196"/>
      <c r="AL14" s="196"/>
      <c r="AM14" s="196"/>
      <c r="AN14" s="196"/>
      <c r="AO14" s="196"/>
      <c r="AP14" s="196"/>
      <c r="AQ14" s="196"/>
      <c r="AR14" s="196"/>
      <c r="AS14" s="196"/>
      <c r="AT14" s="196"/>
      <c r="AU14" s="196"/>
      <c r="AV14" s="196"/>
      <c r="AW14" s="196"/>
      <c r="AX14" s="196"/>
      <c r="AY14" s="196"/>
      <c r="AZ14" s="196"/>
      <c r="BA14" s="196"/>
      <c r="BB14" s="196"/>
      <c r="BC14" s="196"/>
      <c r="BD14" s="196"/>
      <c r="BE14" s="196"/>
      <c r="BF14" s="196"/>
      <c r="BG14"/>
      <c r="BH14" s="164"/>
    </row>
    <row r="15" spans="1:60" ht="16.2" thickBot="1" x14ac:dyDescent="0.35">
      <c r="A15" s="185" t="s">
        <v>71</v>
      </c>
      <c r="C15" s="163"/>
      <c r="D15" s="231" t="s">
        <v>188</v>
      </c>
      <c r="E15" s="232"/>
      <c r="F15" s="232"/>
      <c r="G15" s="232"/>
      <c r="H15" s="232"/>
      <c r="I15" s="232"/>
      <c r="J15" s="233"/>
      <c r="K15" s="249" t="s">
        <v>71</v>
      </c>
      <c r="L15" s="250"/>
      <c r="M15" s="250"/>
      <c r="N15" s="250"/>
      <c r="O15" s="250"/>
      <c r="P15" s="250"/>
      <c r="Q15" s="250"/>
      <c r="R15" s="250"/>
      <c r="S15" s="250"/>
      <c r="T15" s="250"/>
      <c r="U15" s="250"/>
      <c r="V15" s="250"/>
      <c r="W15" s="250"/>
      <c r="X15" s="250"/>
      <c r="Y15" s="250"/>
      <c r="Z15" s="250"/>
      <c r="AA15" s="250"/>
      <c r="AB15" s="250"/>
      <c r="AC15" s="250"/>
      <c r="AD15" s="250"/>
      <c r="AE15" s="250"/>
      <c r="AF15" s="250"/>
      <c r="AG15" s="250"/>
      <c r="AH15" s="250"/>
      <c r="AI15" s="250"/>
      <c r="AJ15" s="250"/>
      <c r="AK15" s="250"/>
      <c r="AL15" s="250"/>
      <c r="AM15" s="250"/>
      <c r="AN15" s="250"/>
      <c r="AO15" s="250"/>
      <c r="AP15" s="250"/>
      <c r="AQ15" s="250"/>
      <c r="AR15" s="250"/>
      <c r="AS15" s="250"/>
      <c r="AT15" s="250"/>
      <c r="AU15" s="250"/>
      <c r="AV15" s="250"/>
      <c r="AW15" s="250"/>
      <c r="AX15" s="250"/>
      <c r="AY15" s="250"/>
      <c r="AZ15" s="250"/>
      <c r="BA15" s="250"/>
      <c r="BB15" s="250"/>
      <c r="BC15" s="250"/>
      <c r="BD15" s="250"/>
      <c r="BE15" s="250"/>
      <c r="BF15" s="250"/>
      <c r="BG15" s="251"/>
      <c r="BH15" s="164"/>
    </row>
    <row r="16" spans="1:60" ht="16.2" thickBot="1" x14ac:dyDescent="0.35">
      <c r="C16" s="163"/>
      <c r="D16" s="231" t="s">
        <v>98</v>
      </c>
      <c r="E16" s="232"/>
      <c r="F16" s="232"/>
      <c r="G16" s="232"/>
      <c r="H16" s="232"/>
      <c r="I16" s="232"/>
      <c r="J16" s="233"/>
      <c r="K16" s="249" t="s">
        <v>164</v>
      </c>
      <c r="L16" s="250"/>
      <c r="M16" s="250"/>
      <c r="N16" s="250"/>
      <c r="O16" s="250"/>
      <c r="P16" s="250"/>
      <c r="Q16" s="250"/>
      <c r="R16" s="250"/>
      <c r="S16" s="250"/>
      <c r="T16" s="250"/>
      <c r="U16" s="250"/>
      <c r="V16" s="250"/>
      <c r="W16" s="250"/>
      <c r="X16" s="250"/>
      <c r="Y16" s="250"/>
      <c r="Z16" s="250"/>
      <c r="AA16" s="250"/>
      <c r="AB16" s="250"/>
      <c r="AC16" s="250"/>
      <c r="AD16" s="250"/>
      <c r="AE16" s="250"/>
      <c r="AF16" s="250"/>
      <c r="AG16" s="250"/>
      <c r="AH16" s="250"/>
      <c r="AI16" s="250"/>
      <c r="AJ16" s="250"/>
      <c r="AK16" s="250"/>
      <c r="AL16" s="250"/>
      <c r="AM16" s="250"/>
      <c r="AN16" s="251"/>
      <c r="AO16" s="225" t="s">
        <v>113</v>
      </c>
      <c r="AP16" s="226"/>
      <c r="AQ16" s="227"/>
      <c r="AR16" s="192">
        <v>1313</v>
      </c>
      <c r="AS16" s="231" t="s">
        <v>100</v>
      </c>
      <c r="AT16" s="232"/>
      <c r="AU16" s="233"/>
      <c r="AV16" s="197" t="s">
        <v>114</v>
      </c>
      <c r="AW16" s="231" t="s">
        <v>102</v>
      </c>
      <c r="AX16" s="232"/>
      <c r="AY16" s="232"/>
      <c r="AZ16" s="232"/>
      <c r="BA16" s="232"/>
      <c r="BB16" s="232"/>
      <c r="BC16" s="233"/>
      <c r="BD16" s="237"/>
      <c r="BE16" s="238"/>
      <c r="BF16" s="238"/>
      <c r="BG16" s="239"/>
      <c r="BH16" s="164"/>
    </row>
    <row r="17" spans="1:60" ht="16.2" thickBot="1" x14ac:dyDescent="0.35">
      <c r="C17" s="163"/>
      <c r="D17" s="198" t="s">
        <v>115</v>
      </c>
      <c r="E17" s="196"/>
      <c r="F17" s="196"/>
      <c r="G17" s="196"/>
      <c r="H17" s="196"/>
      <c r="I17" s="196"/>
      <c r="J17" s="199"/>
      <c r="K17" s="249" t="s">
        <v>165</v>
      </c>
      <c r="L17" s="250"/>
      <c r="M17" s="250"/>
      <c r="N17" s="250"/>
      <c r="O17" s="250"/>
      <c r="P17" s="250"/>
      <c r="Q17" s="250"/>
      <c r="R17" s="250"/>
      <c r="S17" s="250"/>
      <c r="T17" s="250"/>
      <c r="U17" s="250"/>
      <c r="V17" s="250"/>
      <c r="W17" s="251"/>
      <c r="X17" s="231" t="s">
        <v>105</v>
      </c>
      <c r="Y17" s="232"/>
      <c r="Z17" s="232"/>
      <c r="AA17" s="232"/>
      <c r="AB17" s="232"/>
      <c r="AC17" s="232"/>
      <c r="AD17" s="232"/>
      <c r="AE17" s="232"/>
      <c r="AF17" s="232"/>
      <c r="AG17" s="232"/>
      <c r="AH17" s="232"/>
      <c r="AI17" s="233"/>
      <c r="AJ17" s="249" t="s">
        <v>166</v>
      </c>
      <c r="AK17" s="250"/>
      <c r="AL17" s="250"/>
      <c r="AM17" s="250"/>
      <c r="AN17" s="250"/>
      <c r="AO17" s="250"/>
      <c r="AP17" s="250"/>
      <c r="AQ17" s="250"/>
      <c r="AR17" s="250"/>
      <c r="AS17" s="250"/>
      <c r="AT17" s="250"/>
      <c r="AU17" s="250"/>
      <c r="AV17" s="250"/>
      <c r="AW17" s="250"/>
      <c r="AX17" s="251"/>
      <c r="AY17" s="231" t="s">
        <v>116</v>
      </c>
      <c r="AZ17" s="232"/>
      <c r="BA17" s="232"/>
      <c r="BB17" s="232"/>
      <c r="BC17" s="233"/>
      <c r="BD17" s="249" t="s">
        <v>167</v>
      </c>
      <c r="BE17" s="250"/>
      <c r="BF17" s="250"/>
      <c r="BG17" s="251"/>
      <c r="BH17" s="164"/>
    </row>
    <row r="18" spans="1:60" ht="16.2" thickBot="1" x14ac:dyDescent="0.35">
      <c r="C18" s="163"/>
      <c r="D18" s="231" t="s">
        <v>117</v>
      </c>
      <c r="E18" s="232"/>
      <c r="F18" s="232"/>
      <c r="G18" s="232"/>
      <c r="H18" s="232"/>
      <c r="I18" s="232"/>
      <c r="J18" s="233"/>
      <c r="K18" s="249" t="s">
        <v>168</v>
      </c>
      <c r="L18" s="250"/>
      <c r="M18" s="250"/>
      <c r="N18" s="250"/>
      <c r="O18" s="250"/>
      <c r="P18" s="250"/>
      <c r="Q18" s="250"/>
      <c r="R18" s="250"/>
      <c r="S18" s="250"/>
      <c r="T18" s="250"/>
      <c r="U18" s="250"/>
      <c r="V18" s="250"/>
      <c r="W18" s="251"/>
      <c r="X18" s="231" t="s">
        <v>118</v>
      </c>
      <c r="Y18" s="232"/>
      <c r="Z18" s="232"/>
      <c r="AA18" s="232"/>
      <c r="AB18" s="232"/>
      <c r="AC18" s="232"/>
      <c r="AD18" s="232"/>
      <c r="AE18" s="232"/>
      <c r="AF18" s="232"/>
      <c r="AG18" s="232"/>
      <c r="AH18" s="232"/>
      <c r="AI18" s="233"/>
      <c r="AJ18" s="252" t="s">
        <v>169</v>
      </c>
      <c r="AK18" s="253"/>
      <c r="AL18" s="253"/>
      <c r="AM18" s="253"/>
      <c r="AN18" s="253"/>
      <c r="AO18" s="253"/>
      <c r="AP18" s="253"/>
      <c r="AQ18" s="253"/>
      <c r="AR18" s="253"/>
      <c r="AS18" s="253"/>
      <c r="AT18" s="253"/>
      <c r="AU18" s="254"/>
      <c r="AV18" s="200" t="s">
        <v>119</v>
      </c>
      <c r="AW18" s="258" t="s">
        <v>170</v>
      </c>
      <c r="AX18" s="259"/>
      <c r="AY18" s="259"/>
      <c r="AZ18" s="259"/>
      <c r="BA18" s="259"/>
      <c r="BB18" s="259"/>
      <c r="BC18" s="259"/>
      <c r="BD18" s="259"/>
      <c r="BE18" s="259"/>
      <c r="BF18" s="259"/>
      <c r="BG18" s="260"/>
      <c r="BH18" s="164"/>
    </row>
    <row r="19" spans="1:60" ht="16.2" thickBot="1" x14ac:dyDescent="0.35">
      <c r="C19" s="163"/>
      <c r="D19" s="231" t="s">
        <v>120</v>
      </c>
      <c r="E19" s="232"/>
      <c r="F19" s="232"/>
      <c r="G19" s="232"/>
      <c r="H19" s="232"/>
      <c r="I19" s="232"/>
      <c r="J19" s="233"/>
      <c r="K19" s="249" t="s">
        <v>171</v>
      </c>
      <c r="L19" s="250"/>
      <c r="M19" s="250"/>
      <c r="N19" s="250"/>
      <c r="O19" s="250"/>
      <c r="P19" s="250"/>
      <c r="Q19" s="250"/>
      <c r="R19" s="250"/>
      <c r="S19" s="250"/>
      <c r="T19" s="250"/>
      <c r="U19" s="250"/>
      <c r="V19" s="250"/>
      <c r="W19" s="251"/>
      <c r="X19" s="231" t="s">
        <v>121</v>
      </c>
      <c r="Y19" s="232"/>
      <c r="Z19" s="232"/>
      <c r="AA19" s="232"/>
      <c r="AB19" s="232"/>
      <c r="AC19" s="232"/>
      <c r="AD19" s="232"/>
      <c r="AE19" s="232"/>
      <c r="AF19" s="232"/>
      <c r="AG19" s="232"/>
      <c r="AH19" s="232"/>
      <c r="AI19" s="233"/>
      <c r="AJ19" s="255">
        <v>387321251114</v>
      </c>
      <c r="AK19" s="256"/>
      <c r="AL19" s="256"/>
      <c r="AM19" s="256"/>
      <c r="AN19" s="256"/>
      <c r="AO19" s="256"/>
      <c r="AP19" s="256"/>
      <c r="AQ19" s="256"/>
      <c r="AR19" s="256"/>
      <c r="AS19" s="256"/>
      <c r="AT19" s="256"/>
      <c r="AU19" s="257"/>
      <c r="AV19" s="201" t="s">
        <v>122</v>
      </c>
      <c r="AW19" s="258" t="s">
        <v>170</v>
      </c>
      <c r="AX19" s="259"/>
      <c r="AY19" s="259"/>
      <c r="AZ19" s="259"/>
      <c r="BA19" s="259"/>
      <c r="BB19" s="259"/>
      <c r="BC19" s="259"/>
      <c r="BD19" s="259"/>
      <c r="BE19" s="259"/>
      <c r="BF19" s="259"/>
      <c r="BG19" s="260"/>
      <c r="BH19" s="164"/>
    </row>
    <row r="20" spans="1:60" ht="16.2" thickBot="1" x14ac:dyDescent="0.35">
      <c r="A20" s="190" t="s">
        <v>176</v>
      </c>
      <c r="C20" s="163"/>
      <c r="D20" s="165"/>
      <c r="E20" s="165"/>
      <c r="F20" s="165"/>
      <c r="G20" s="165"/>
      <c r="H20" s="165"/>
      <c r="I20" s="165"/>
      <c r="J20" s="165"/>
      <c r="K20" s="165"/>
      <c r="L20" s="165"/>
      <c r="M20" s="165"/>
      <c r="N20" s="170"/>
      <c r="O20" s="165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5"/>
      <c r="AA20" s="165"/>
      <c r="AB20" s="165"/>
      <c r="AC20" s="165"/>
      <c r="AD20" s="165"/>
      <c r="AE20" s="165"/>
      <c r="AF20" s="165"/>
      <c r="AG20" s="165"/>
      <c r="AH20" s="165"/>
      <c r="AI20" s="165"/>
      <c r="AJ20" s="165"/>
      <c r="AK20" s="165"/>
      <c r="AL20" s="165"/>
      <c r="AM20" s="165"/>
      <c r="AN20" s="165"/>
      <c r="AO20" s="165"/>
      <c r="AP20" s="165"/>
      <c r="AQ20" s="165"/>
      <c r="AR20" s="165"/>
      <c r="AS20" s="165"/>
      <c r="AT20" s="165"/>
      <c r="AU20" s="165"/>
      <c r="AV20" s="165"/>
      <c r="AW20" s="165"/>
      <c r="AX20" s="165"/>
      <c r="AY20" s="165"/>
      <c r="AZ20" s="165"/>
      <c r="BA20" s="165"/>
      <c r="BB20" s="165"/>
      <c r="BC20" s="165"/>
      <c r="BD20" s="165"/>
      <c r="BE20" s="165"/>
      <c r="BF20" s="165"/>
      <c r="BH20" s="164"/>
    </row>
    <row r="21" spans="1:60" ht="16.2" thickBot="1" x14ac:dyDescent="0.35">
      <c r="A21" s="185">
        <v>1</v>
      </c>
      <c r="C21" s="163"/>
      <c r="D21" s="225" t="s">
        <v>177</v>
      </c>
      <c r="E21" s="226"/>
      <c r="F21" s="226"/>
      <c r="G21" s="226"/>
      <c r="H21" s="226"/>
      <c r="I21" s="227"/>
      <c r="J21" s="252">
        <v>1</v>
      </c>
      <c r="K21" s="253"/>
      <c r="L21" s="253"/>
      <c r="M21" s="253"/>
      <c r="N21" s="254"/>
      <c r="O21" s="225" t="s">
        <v>178</v>
      </c>
      <c r="P21" s="226"/>
      <c r="Q21" s="226"/>
      <c r="R21" s="226"/>
      <c r="S21" s="226"/>
      <c r="T21" s="226"/>
      <c r="U21" s="226"/>
      <c r="V21" s="226"/>
      <c r="W21" s="227"/>
      <c r="X21" s="261" t="s">
        <v>123</v>
      </c>
      <c r="Y21" s="262"/>
      <c r="Z21" s="262"/>
      <c r="AA21" s="262"/>
      <c r="AB21" s="262"/>
      <c r="AC21" s="262"/>
      <c r="AD21" s="262"/>
      <c r="AE21" s="262"/>
      <c r="AF21" s="262"/>
      <c r="AG21" s="262"/>
      <c r="AH21" s="263"/>
      <c r="AI21" s="225" t="s">
        <v>179</v>
      </c>
      <c r="AJ21" s="226"/>
      <c r="AK21" s="226"/>
      <c r="AL21" s="226"/>
      <c r="AM21" s="226"/>
      <c r="AN21" s="226"/>
      <c r="AO21" s="227"/>
      <c r="AP21" s="252" t="s">
        <v>10</v>
      </c>
      <c r="AQ21" s="253"/>
      <c r="AR21" s="253"/>
      <c r="AS21" s="253"/>
      <c r="AT21" s="254"/>
      <c r="AU21" s="225" t="s">
        <v>180</v>
      </c>
      <c r="AV21" s="226"/>
      <c r="AW21" s="226"/>
      <c r="AX21" s="226"/>
      <c r="AY21" s="226"/>
      <c r="AZ21" s="226"/>
      <c r="BA21" s="226"/>
      <c r="BB21" s="226"/>
      <c r="BC21" s="227"/>
      <c r="BD21" s="264">
        <v>45800</v>
      </c>
      <c r="BE21" s="253"/>
      <c r="BF21" s="253"/>
      <c r="BG21" s="254"/>
      <c r="BH21" s="164"/>
    </row>
    <row r="22" spans="1:60" ht="16.2" thickBot="1" x14ac:dyDescent="0.35">
      <c r="C22" s="163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70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  <c r="Z22" s="165"/>
      <c r="AA22" s="165"/>
      <c r="AB22" s="165"/>
      <c r="AC22" s="165"/>
      <c r="AD22" s="165"/>
      <c r="AE22" s="165"/>
      <c r="AF22" s="165"/>
      <c r="AG22" s="165"/>
      <c r="AH22" s="165"/>
      <c r="AI22" s="165"/>
      <c r="AJ22" s="165"/>
      <c r="AK22" s="165"/>
      <c r="AL22" s="165"/>
      <c r="AM22" s="165"/>
      <c r="AN22" s="165"/>
      <c r="AO22" s="165"/>
      <c r="AP22" s="165"/>
      <c r="AQ22" s="165"/>
      <c r="AR22" s="165"/>
      <c r="AS22" s="165"/>
      <c r="AT22" s="165"/>
      <c r="AU22" s="165"/>
      <c r="AV22" s="165"/>
      <c r="AW22" s="165"/>
      <c r="AX22" s="165"/>
      <c r="AY22" s="165"/>
      <c r="AZ22" s="165"/>
      <c r="BA22" s="165"/>
      <c r="BB22" s="165"/>
      <c r="BC22" s="171"/>
      <c r="BD22" s="165"/>
      <c r="BE22" s="165"/>
      <c r="BF22" s="165"/>
      <c r="BH22" s="164"/>
    </row>
    <row r="23" spans="1:60" ht="16.2" thickBot="1" x14ac:dyDescent="0.35">
      <c r="C23" s="163"/>
      <c r="D23" s="265" t="s">
        <v>124</v>
      </c>
      <c r="E23" s="266"/>
      <c r="F23" s="266"/>
      <c r="G23" s="266"/>
      <c r="H23" s="266"/>
      <c r="I23" s="266"/>
      <c r="J23" s="266"/>
      <c r="K23" s="266"/>
      <c r="L23" s="266"/>
      <c r="M23" s="266"/>
      <c r="N23" s="267"/>
      <c r="O23" s="216" t="s">
        <v>125</v>
      </c>
      <c r="P23" s="217"/>
      <c r="Q23" s="217"/>
      <c r="R23" s="217"/>
      <c r="S23" s="217"/>
      <c r="T23" s="217"/>
      <c r="U23" s="217"/>
      <c r="V23" s="217"/>
      <c r="W23" s="217"/>
      <c r="X23" s="217"/>
      <c r="Y23" s="217"/>
      <c r="Z23" s="217"/>
      <c r="AA23" s="217"/>
      <c r="AB23" s="217"/>
      <c r="AC23" s="217"/>
      <c r="AD23" s="217"/>
      <c r="AE23" s="217"/>
      <c r="AF23" s="217"/>
      <c r="AG23" s="217"/>
      <c r="AH23" s="217"/>
      <c r="AI23" s="217"/>
      <c r="AJ23" s="217"/>
      <c r="AK23" s="217"/>
      <c r="AL23" s="217"/>
      <c r="AM23" s="217"/>
      <c r="AN23" s="217"/>
      <c r="AO23" s="217"/>
      <c r="AP23" s="217"/>
      <c r="AQ23" s="217"/>
      <c r="AR23" s="217"/>
      <c r="AS23" s="217"/>
      <c r="AT23" s="217"/>
      <c r="AU23" s="217"/>
      <c r="AV23" s="217"/>
      <c r="AW23" s="217"/>
      <c r="AX23" s="217"/>
      <c r="AY23" s="217"/>
      <c r="AZ23" s="217"/>
      <c r="BA23" s="217"/>
      <c r="BB23" s="217"/>
      <c r="BC23" s="217"/>
      <c r="BD23" s="217"/>
      <c r="BE23" s="217"/>
      <c r="BF23" s="217"/>
      <c r="BG23" s="218"/>
      <c r="BH23" s="164"/>
    </row>
    <row r="24" spans="1:60" ht="16.2" thickBot="1" x14ac:dyDescent="0.35">
      <c r="C24" s="163"/>
      <c r="D24" s="219" t="s">
        <v>126</v>
      </c>
      <c r="E24" s="220"/>
      <c r="F24" s="220"/>
      <c r="G24" s="220"/>
      <c r="H24" s="220"/>
      <c r="I24" s="220"/>
      <c r="J24" s="220"/>
      <c r="K24" s="220"/>
      <c r="L24" s="220"/>
      <c r="M24" s="220"/>
      <c r="N24" s="220"/>
      <c r="O24" s="220"/>
      <c r="P24" s="221"/>
      <c r="Q24" s="268"/>
      <c r="R24" s="269"/>
      <c r="S24" s="269"/>
      <c r="T24" s="269"/>
      <c r="U24" s="269"/>
      <c r="V24" s="269"/>
      <c r="W24" s="269"/>
      <c r="X24" s="269"/>
      <c r="Y24" s="269"/>
      <c r="Z24" s="269"/>
      <c r="AA24" s="269"/>
      <c r="AB24" s="269"/>
      <c r="AC24" s="269"/>
      <c r="AD24" s="269"/>
      <c r="AE24" s="269"/>
      <c r="AF24" s="269"/>
      <c r="AG24" s="269"/>
      <c r="AH24" s="269"/>
      <c r="AI24" s="269"/>
      <c r="AJ24" s="269"/>
      <c r="AK24" s="269"/>
      <c r="AL24" s="270"/>
      <c r="AM24" s="265" t="s">
        <v>127</v>
      </c>
      <c r="AN24" s="267"/>
      <c r="AO24" s="271"/>
      <c r="AP24" s="272"/>
      <c r="AQ24" s="272"/>
      <c r="AR24" s="272"/>
      <c r="AS24" s="272"/>
      <c r="AT24" s="272"/>
      <c r="AU24" s="272"/>
      <c r="AV24" s="272"/>
      <c r="AW24" s="272"/>
      <c r="AX24" s="273"/>
      <c r="AY24" s="219" t="s">
        <v>128</v>
      </c>
      <c r="AZ24" s="220"/>
      <c r="BA24" s="220"/>
      <c r="BB24" s="220"/>
      <c r="BC24" s="221"/>
      <c r="BD24" s="274"/>
      <c r="BE24" s="272"/>
      <c r="BF24" s="272"/>
      <c r="BG24" s="273"/>
      <c r="BH24" s="164"/>
    </row>
    <row r="25" spans="1:60" ht="16.2" thickBot="1" x14ac:dyDescent="0.35">
      <c r="C25" s="163"/>
      <c r="D25" s="265" t="s">
        <v>129</v>
      </c>
      <c r="E25" s="266"/>
      <c r="F25" s="266"/>
      <c r="G25" s="267"/>
      <c r="H25" s="216"/>
      <c r="I25" s="217"/>
      <c r="J25" s="217"/>
      <c r="K25" s="217"/>
      <c r="L25" s="217"/>
      <c r="M25" s="217"/>
      <c r="N25" s="217"/>
      <c r="O25" s="217"/>
      <c r="P25" s="217"/>
      <c r="Q25" s="217"/>
      <c r="R25" s="217"/>
      <c r="S25" s="218"/>
      <c r="T25" s="265" t="s">
        <v>130</v>
      </c>
      <c r="U25" s="266"/>
      <c r="V25" s="266"/>
      <c r="W25" s="266"/>
      <c r="X25" s="266"/>
      <c r="Y25" s="266"/>
      <c r="Z25" s="266"/>
      <c r="AA25" s="266"/>
      <c r="AB25" s="266"/>
      <c r="AC25" s="266"/>
      <c r="AD25" s="267"/>
      <c r="AE25" s="268"/>
      <c r="AF25" s="269"/>
      <c r="AG25" s="269"/>
      <c r="AH25" s="269"/>
      <c r="AI25" s="269"/>
      <c r="AJ25" s="269"/>
      <c r="AK25" s="269"/>
      <c r="AL25" s="269"/>
      <c r="AM25" s="270"/>
      <c r="AN25" s="265" t="s">
        <v>131</v>
      </c>
      <c r="AO25" s="266"/>
      <c r="AP25" s="266"/>
      <c r="AQ25" s="267"/>
      <c r="AR25" s="268"/>
      <c r="AS25" s="270"/>
      <c r="AT25" s="219" t="s">
        <v>132</v>
      </c>
      <c r="AU25" s="220"/>
      <c r="AV25" s="221"/>
      <c r="AW25" s="268"/>
      <c r="AX25" s="269"/>
      <c r="AY25" s="269"/>
      <c r="AZ25" s="269"/>
      <c r="BA25" s="269"/>
      <c r="BB25" s="269"/>
      <c r="BC25" s="269"/>
      <c r="BD25" s="269"/>
      <c r="BE25" s="269"/>
      <c r="BF25" s="269"/>
      <c r="BG25" s="270"/>
      <c r="BH25" s="164"/>
    </row>
    <row r="26" spans="1:60" ht="16.2" thickBot="1" x14ac:dyDescent="0.35">
      <c r="C26" s="163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5"/>
      <c r="AA26" s="165"/>
      <c r="AB26" s="165"/>
      <c r="AC26" s="165"/>
      <c r="AD26" s="165"/>
      <c r="AE26" s="165"/>
      <c r="AF26" s="165"/>
      <c r="AG26" s="165"/>
      <c r="AH26" s="165"/>
      <c r="AI26" s="165"/>
      <c r="AJ26" s="165"/>
      <c r="AK26" s="165"/>
      <c r="AL26" s="165"/>
      <c r="AM26" s="165"/>
      <c r="AN26" s="165"/>
      <c r="AO26" s="165"/>
      <c r="AP26" s="165"/>
      <c r="AQ26" s="165"/>
      <c r="AR26" s="165"/>
      <c r="AS26" s="165"/>
      <c r="AT26" s="165"/>
      <c r="AU26" s="165"/>
      <c r="AV26" s="165"/>
      <c r="AW26" s="165"/>
      <c r="AX26" s="165"/>
      <c r="AY26" s="165"/>
      <c r="AZ26" s="165"/>
      <c r="BA26" s="165"/>
      <c r="BB26" s="165"/>
      <c r="BC26" s="160"/>
      <c r="BD26" s="165"/>
      <c r="BE26" s="165"/>
      <c r="BF26" s="165"/>
      <c r="BH26" s="164"/>
    </row>
    <row r="27" spans="1:60" ht="16.2" thickBot="1" x14ac:dyDescent="0.35">
      <c r="C27" s="163"/>
      <c r="D27" s="265" t="s">
        <v>133</v>
      </c>
      <c r="E27" s="266"/>
      <c r="F27" s="266"/>
      <c r="G27" s="266"/>
      <c r="H27" s="266"/>
      <c r="I27" s="266"/>
      <c r="J27" s="266"/>
      <c r="K27" s="266"/>
      <c r="L27" s="266"/>
      <c r="M27" s="266"/>
      <c r="N27" s="266"/>
      <c r="O27" s="266"/>
      <c r="P27" s="266"/>
      <c r="Q27" s="267"/>
      <c r="R27" s="216" t="s">
        <v>134</v>
      </c>
      <c r="S27" s="217"/>
      <c r="T27" s="217"/>
      <c r="U27" s="217"/>
      <c r="V27" s="217"/>
      <c r="W27" s="217"/>
      <c r="X27" s="217"/>
      <c r="Y27" s="217"/>
      <c r="Z27" s="217"/>
      <c r="AA27" s="217"/>
      <c r="AB27" s="217"/>
      <c r="AC27" s="217"/>
      <c r="AD27" s="217"/>
      <c r="AE27" s="217"/>
      <c r="AF27" s="217"/>
      <c r="AG27" s="217"/>
      <c r="AH27" s="217"/>
      <c r="AI27" s="217"/>
      <c r="AJ27" s="217"/>
      <c r="AK27" s="217"/>
      <c r="AL27" s="217"/>
      <c r="AM27" s="217"/>
      <c r="AN27" s="217"/>
      <c r="AO27" s="217"/>
      <c r="AP27" s="217"/>
      <c r="AQ27" s="218"/>
      <c r="AR27" s="172" t="s">
        <v>135</v>
      </c>
      <c r="AS27" s="216" t="s">
        <v>175</v>
      </c>
      <c r="AT27" s="217"/>
      <c r="AU27" s="217"/>
      <c r="AV27" s="217"/>
      <c r="AW27" s="217"/>
      <c r="AX27" s="218"/>
      <c r="AY27" s="219" t="s">
        <v>136</v>
      </c>
      <c r="AZ27" s="220"/>
      <c r="BA27" s="220"/>
      <c r="BB27" s="220"/>
      <c r="BC27" s="221"/>
      <c r="BD27" s="216" t="s">
        <v>175</v>
      </c>
      <c r="BE27" s="217"/>
      <c r="BF27" s="217"/>
      <c r="BG27" s="218"/>
      <c r="BH27" s="164"/>
    </row>
    <row r="28" spans="1:60" ht="16.2" thickBot="1" x14ac:dyDescent="0.35">
      <c r="C28" s="163"/>
      <c r="D28" s="165"/>
      <c r="E28" s="165"/>
      <c r="F28" s="165"/>
      <c r="G28" s="165"/>
      <c r="H28" s="165"/>
      <c r="I28" s="165"/>
      <c r="J28" s="165"/>
      <c r="K28" s="165"/>
      <c r="L28" s="165"/>
      <c r="M28" s="165"/>
      <c r="N28" s="165"/>
      <c r="O28" s="165"/>
      <c r="P28" s="165"/>
      <c r="Q28" s="165"/>
      <c r="R28" s="165"/>
      <c r="S28" s="165"/>
      <c r="T28" s="165"/>
      <c r="U28" s="165"/>
      <c r="V28" s="165"/>
      <c r="W28" s="165"/>
      <c r="X28" s="165"/>
      <c r="Y28" s="165"/>
      <c r="Z28" s="165"/>
      <c r="AA28" s="165"/>
      <c r="AB28" s="165"/>
      <c r="AC28" s="165"/>
      <c r="AD28" s="165"/>
      <c r="AE28" s="165"/>
      <c r="AF28" s="165"/>
      <c r="AG28" s="165"/>
      <c r="AH28" s="165"/>
      <c r="AI28" s="165"/>
      <c r="AJ28" s="165"/>
      <c r="AK28" s="165"/>
      <c r="AL28" s="165"/>
      <c r="AM28" s="165"/>
      <c r="AN28" s="165"/>
      <c r="AO28" s="165"/>
      <c r="AP28" s="165"/>
      <c r="AQ28" s="165"/>
      <c r="AR28" s="165"/>
      <c r="AS28" s="165"/>
      <c r="AT28" s="160"/>
      <c r="AU28" s="160"/>
      <c r="AV28" s="165"/>
      <c r="AW28" s="165"/>
      <c r="AX28" s="165"/>
      <c r="AY28" s="165"/>
      <c r="AZ28" s="165"/>
      <c r="BA28" s="165"/>
      <c r="BB28" s="165"/>
      <c r="BC28" s="165"/>
      <c r="BD28" s="165"/>
      <c r="BE28" s="165"/>
      <c r="BF28" s="165"/>
      <c r="BH28" s="164"/>
    </row>
    <row r="29" spans="1:60" ht="16.2" thickBot="1" x14ac:dyDescent="0.35">
      <c r="C29" s="163"/>
      <c r="D29" s="265" t="s">
        <v>137</v>
      </c>
      <c r="E29" s="266"/>
      <c r="F29" s="266"/>
      <c r="G29" s="266"/>
      <c r="H29" s="266"/>
      <c r="I29" s="266"/>
      <c r="J29" s="266"/>
      <c r="K29" s="266"/>
      <c r="L29" s="266"/>
      <c r="M29" s="267"/>
      <c r="N29" s="275"/>
      <c r="O29" s="276"/>
      <c r="P29" s="276"/>
      <c r="Q29" s="276"/>
      <c r="R29" s="276"/>
      <c r="S29" s="276"/>
      <c r="T29" s="276"/>
      <c r="U29" s="276"/>
      <c r="V29" s="276"/>
      <c r="W29" s="276"/>
      <c r="X29" s="276"/>
      <c r="Y29" s="276"/>
      <c r="Z29" s="276"/>
      <c r="AA29" s="276"/>
      <c r="AB29" s="276"/>
      <c r="AC29" s="276"/>
      <c r="AD29" s="276"/>
      <c r="AE29" s="276"/>
      <c r="AF29" s="276"/>
      <c r="AG29" s="276"/>
      <c r="AH29" s="276"/>
      <c r="AI29" s="276"/>
      <c r="AJ29" s="276"/>
      <c r="AK29" s="276"/>
      <c r="AL29" s="277"/>
      <c r="AM29" s="265" t="s">
        <v>138</v>
      </c>
      <c r="AN29" s="266"/>
      <c r="AO29" s="266"/>
      <c r="AP29" s="267"/>
      <c r="AQ29" s="268"/>
      <c r="AR29" s="269"/>
      <c r="AS29" s="269"/>
      <c r="AT29" s="269"/>
      <c r="AU29" s="270"/>
      <c r="AV29" s="173" t="s">
        <v>139</v>
      </c>
      <c r="AW29" s="268"/>
      <c r="AX29" s="269"/>
      <c r="AY29" s="269"/>
      <c r="AZ29" s="269"/>
      <c r="BA29" s="269"/>
      <c r="BB29" s="269"/>
      <c r="BC29" s="269"/>
      <c r="BD29" s="269"/>
      <c r="BE29" s="269"/>
      <c r="BF29" s="269"/>
      <c r="BG29" s="270"/>
      <c r="BH29" s="164"/>
    </row>
    <row r="30" spans="1:60" ht="16.2" thickBot="1" x14ac:dyDescent="0.35">
      <c r="C30" s="163"/>
      <c r="D30" s="165"/>
      <c r="E30" s="165"/>
      <c r="F30" s="165"/>
      <c r="G30" s="165"/>
      <c r="H30" s="165"/>
      <c r="I30" s="165"/>
      <c r="J30" s="165"/>
      <c r="K30" s="165"/>
      <c r="L30" s="165"/>
      <c r="M30" s="165"/>
      <c r="N30" s="170"/>
      <c r="O30" s="165"/>
      <c r="P30" s="165"/>
      <c r="Q30" s="165"/>
      <c r="R30" s="165"/>
      <c r="S30" s="165"/>
      <c r="T30" s="165"/>
      <c r="U30" s="165"/>
      <c r="V30" s="165"/>
      <c r="W30" s="165"/>
      <c r="X30" s="165"/>
      <c r="Y30" s="165"/>
      <c r="Z30" s="165"/>
      <c r="AA30" s="165"/>
      <c r="AB30" s="174"/>
      <c r="AC30" s="165"/>
      <c r="AD30" s="165"/>
      <c r="AE30" s="165"/>
      <c r="AF30" s="165"/>
      <c r="AG30" s="165"/>
      <c r="AH30" s="165"/>
      <c r="AI30" s="165"/>
      <c r="AJ30" s="165"/>
      <c r="AK30" s="165"/>
      <c r="AL30" s="165"/>
      <c r="AM30" s="165"/>
      <c r="AN30" s="165"/>
      <c r="AO30" s="165"/>
      <c r="AP30" s="165"/>
      <c r="AQ30" s="165"/>
      <c r="AR30" s="165"/>
      <c r="AS30" s="165"/>
      <c r="AT30" s="165"/>
      <c r="AU30" s="165"/>
      <c r="AV30" s="165"/>
      <c r="AW30" s="165"/>
      <c r="AX30" s="165"/>
      <c r="AY30" s="165"/>
      <c r="AZ30" s="165"/>
      <c r="BA30" s="165"/>
      <c r="BB30" s="165"/>
      <c r="BC30" s="165"/>
      <c r="BD30" s="165"/>
      <c r="BE30" s="165"/>
      <c r="BF30" s="165"/>
      <c r="BH30" s="164"/>
    </row>
    <row r="31" spans="1:60" ht="16.2" thickBot="1" x14ac:dyDescent="0.35">
      <c r="C31" s="163"/>
      <c r="D31" s="265" t="s">
        <v>140</v>
      </c>
      <c r="E31" s="266"/>
      <c r="F31" s="266"/>
      <c r="G31" s="266"/>
      <c r="H31" s="267"/>
      <c r="I31" s="278" t="s">
        <v>141</v>
      </c>
      <c r="J31" s="279"/>
      <c r="K31" s="279"/>
      <c r="L31" s="279"/>
      <c r="M31" s="280"/>
      <c r="N31" s="275" t="s">
        <v>142</v>
      </c>
      <c r="O31" s="276"/>
      <c r="P31" s="276"/>
      <c r="Q31" s="277"/>
      <c r="R31" s="278" t="s">
        <v>143</v>
      </c>
      <c r="S31" s="279"/>
      <c r="T31" s="279"/>
      <c r="U31" s="279"/>
      <c r="V31" s="280"/>
      <c r="W31" s="268"/>
      <c r="X31" s="269"/>
      <c r="Y31" s="269"/>
      <c r="Z31" s="270"/>
      <c r="AA31" s="219" t="s">
        <v>144</v>
      </c>
      <c r="AB31" s="220"/>
      <c r="AC31" s="220"/>
      <c r="AD31" s="220"/>
      <c r="AE31" s="220"/>
      <c r="AF31" s="220"/>
      <c r="AG31" s="220"/>
      <c r="AH31" s="220"/>
      <c r="AI31" s="220"/>
      <c r="AJ31" s="220"/>
      <c r="AK31" s="220"/>
      <c r="AL31" s="220"/>
      <c r="AM31" s="221"/>
      <c r="AN31" s="216" t="s">
        <v>145</v>
      </c>
      <c r="AO31" s="217"/>
      <c r="AP31" s="217"/>
      <c r="AQ31" s="217"/>
      <c r="AR31" s="217"/>
      <c r="AS31" s="217"/>
      <c r="AT31" s="217"/>
      <c r="AU31" s="217"/>
      <c r="AV31" s="217"/>
      <c r="AW31" s="217"/>
      <c r="AX31" s="217"/>
      <c r="AY31" s="217"/>
      <c r="AZ31" s="217"/>
      <c r="BA31" s="217"/>
      <c r="BB31" s="217"/>
      <c r="BC31" s="217"/>
      <c r="BD31" s="217"/>
      <c r="BE31" s="217"/>
      <c r="BF31" s="217"/>
      <c r="BG31" s="218"/>
      <c r="BH31" s="164"/>
    </row>
    <row r="32" spans="1:60" ht="16.2" thickBot="1" x14ac:dyDescent="0.35">
      <c r="C32" s="163"/>
      <c r="D32" s="165"/>
      <c r="E32" s="165"/>
      <c r="F32" s="165"/>
      <c r="G32" s="165"/>
      <c r="H32" s="165"/>
      <c r="I32" s="165"/>
      <c r="J32" s="165"/>
      <c r="K32" s="165"/>
      <c r="L32" s="165"/>
      <c r="M32" s="165"/>
      <c r="N32" s="165"/>
      <c r="O32" s="165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5"/>
      <c r="AA32" s="165"/>
      <c r="AB32" s="165"/>
      <c r="AC32" s="165"/>
      <c r="AD32" s="165"/>
      <c r="AE32" s="165"/>
      <c r="AF32" s="165"/>
      <c r="AG32" s="165"/>
      <c r="AH32" s="165"/>
      <c r="AI32" s="165"/>
      <c r="AJ32" s="165"/>
      <c r="AK32" s="165"/>
      <c r="AL32" s="165"/>
      <c r="AM32" s="165"/>
      <c r="AN32" s="165"/>
      <c r="AO32" s="165"/>
      <c r="AP32" s="165"/>
      <c r="AQ32" s="165"/>
      <c r="AR32" s="165"/>
      <c r="AS32" s="165"/>
      <c r="AT32" s="165"/>
      <c r="AU32" s="165"/>
      <c r="AV32" s="165"/>
      <c r="AW32" s="165"/>
      <c r="AX32" s="165"/>
      <c r="AY32" s="165"/>
      <c r="AZ32" s="165"/>
      <c r="BA32" s="165"/>
      <c r="BB32" s="165"/>
      <c r="BC32" s="165"/>
      <c r="BD32" s="165"/>
      <c r="BE32" s="165"/>
      <c r="BF32" s="165"/>
      <c r="BH32" s="164"/>
    </row>
    <row r="33" spans="3:60" ht="16.2" thickBot="1" x14ac:dyDescent="0.35">
      <c r="C33" s="163"/>
      <c r="D33" s="249" t="s">
        <v>181</v>
      </c>
      <c r="E33" s="250"/>
      <c r="F33" s="250"/>
      <c r="G33" s="250"/>
      <c r="H33" s="250"/>
      <c r="I33" s="250"/>
      <c r="J33" s="250"/>
      <c r="K33" s="250"/>
      <c r="L33" s="250"/>
      <c r="M33" s="250"/>
      <c r="N33" s="250"/>
      <c r="O33" s="250"/>
      <c r="P33" s="250"/>
      <c r="Q33" s="250"/>
      <c r="R33" s="250"/>
      <c r="S33" s="251"/>
      <c r="T33" s="252" t="s">
        <v>146</v>
      </c>
      <c r="U33" s="253"/>
      <c r="V33" s="253"/>
      <c r="W33" s="253"/>
      <c r="X33" s="254"/>
      <c r="Y33" s="249" t="s">
        <v>182</v>
      </c>
      <c r="Z33" s="250"/>
      <c r="AA33" s="250"/>
      <c r="AB33" s="250"/>
      <c r="AC33" s="250"/>
      <c r="AD33" s="250"/>
      <c r="AE33" s="251"/>
      <c r="AF33" s="252" t="s">
        <v>147</v>
      </c>
      <c r="AG33" s="253"/>
      <c r="AH33" s="253"/>
      <c r="AI33" s="253"/>
      <c r="AJ33" s="254"/>
      <c r="AK33" s="252" t="s">
        <v>183</v>
      </c>
      <c r="AL33" s="253"/>
      <c r="AM33" s="253"/>
      <c r="AN33" s="253"/>
      <c r="AO33" s="254"/>
      <c r="AP33" s="252" t="s">
        <v>184</v>
      </c>
      <c r="AQ33" s="253"/>
      <c r="AR33" s="253"/>
      <c r="AS33" s="253"/>
      <c r="AT33" s="254"/>
      <c r="AU33" s="249" t="s">
        <v>148</v>
      </c>
      <c r="AV33" s="250"/>
      <c r="AW33" s="251"/>
      <c r="AX33" s="252" t="s">
        <v>149</v>
      </c>
      <c r="AY33" s="253"/>
      <c r="AZ33" s="254"/>
      <c r="BA33" s="252" t="s">
        <v>185</v>
      </c>
      <c r="BB33" s="253"/>
      <c r="BC33" s="253"/>
      <c r="BD33" s="253"/>
      <c r="BE33" s="253"/>
      <c r="BF33" s="253"/>
      <c r="BG33" s="254"/>
      <c r="BH33" s="164"/>
    </row>
    <row r="34" spans="3:60" ht="15.6" x14ac:dyDescent="0.3">
      <c r="C34" s="163"/>
      <c r="D34" s="296" t="s">
        <v>38</v>
      </c>
      <c r="E34" s="297"/>
      <c r="F34" s="297"/>
      <c r="G34" s="297"/>
      <c r="H34" s="297"/>
      <c r="I34" s="297"/>
      <c r="J34" s="297"/>
      <c r="K34" s="297"/>
      <c r="L34" s="297"/>
      <c r="M34" s="297"/>
      <c r="N34" s="297"/>
      <c r="O34" s="297"/>
      <c r="P34" s="297"/>
      <c r="Q34" s="297"/>
      <c r="R34" s="297"/>
      <c r="S34" s="305"/>
      <c r="T34" s="296"/>
      <c r="U34" s="297"/>
      <c r="V34" s="297"/>
      <c r="W34" s="297"/>
      <c r="X34" s="297"/>
      <c r="Y34" s="296">
        <v>90</v>
      </c>
      <c r="Z34" s="297"/>
      <c r="AA34" s="297"/>
      <c r="AB34" s="297"/>
      <c r="AC34" s="297"/>
      <c r="AD34" s="297"/>
      <c r="AE34" s="305"/>
      <c r="AF34" s="296"/>
      <c r="AG34" s="297"/>
      <c r="AH34" s="297"/>
      <c r="AI34" s="297"/>
      <c r="AJ34" s="297"/>
      <c r="AK34" s="308">
        <v>45000</v>
      </c>
      <c r="AL34" s="309"/>
      <c r="AM34" s="309"/>
      <c r="AN34" s="309"/>
      <c r="AO34" s="310"/>
      <c r="AP34" s="317">
        <v>526.20000000000005</v>
      </c>
      <c r="AQ34" s="318"/>
      <c r="AR34" s="318"/>
      <c r="AS34" s="318"/>
      <c r="AT34" s="319"/>
      <c r="AU34" s="287">
        <f>(AP34*AK34/1000)</f>
        <v>23679.000000000004</v>
      </c>
      <c r="AV34" s="288"/>
      <c r="AW34" s="289"/>
      <c r="AX34" s="296"/>
      <c r="AY34" s="297"/>
      <c r="AZ34" s="297"/>
      <c r="BA34" s="287">
        <f>(AU34*1)</f>
        <v>23679.000000000004</v>
      </c>
      <c r="BB34" s="288"/>
      <c r="BC34" s="288"/>
      <c r="BD34" s="288"/>
      <c r="BE34" s="288"/>
      <c r="BF34" s="288"/>
      <c r="BG34" s="289"/>
      <c r="BH34" s="164"/>
    </row>
    <row r="35" spans="3:60" ht="15.6" x14ac:dyDescent="0.3">
      <c r="C35" s="163"/>
      <c r="D35" s="298"/>
      <c r="E35" s="299"/>
      <c r="F35" s="299"/>
      <c r="G35" s="299"/>
      <c r="H35" s="299"/>
      <c r="I35" s="299"/>
      <c r="J35" s="299"/>
      <c r="K35" s="299"/>
      <c r="L35" s="299"/>
      <c r="M35" s="299"/>
      <c r="N35" s="299"/>
      <c r="O35" s="299"/>
      <c r="P35" s="299"/>
      <c r="Q35" s="299"/>
      <c r="R35" s="299"/>
      <c r="S35" s="306"/>
      <c r="T35" s="298"/>
      <c r="U35" s="299"/>
      <c r="V35" s="299"/>
      <c r="W35" s="299"/>
      <c r="X35" s="299"/>
      <c r="Y35" s="298"/>
      <c r="Z35" s="299"/>
      <c r="AA35" s="299"/>
      <c r="AB35" s="299"/>
      <c r="AC35" s="299"/>
      <c r="AD35" s="299"/>
      <c r="AE35" s="306"/>
      <c r="AF35" s="298"/>
      <c r="AG35" s="299"/>
      <c r="AH35" s="299"/>
      <c r="AI35" s="299"/>
      <c r="AJ35" s="299"/>
      <c r="AK35" s="311"/>
      <c r="AL35" s="312"/>
      <c r="AM35" s="312"/>
      <c r="AN35" s="312"/>
      <c r="AO35" s="313"/>
      <c r="AP35" s="320"/>
      <c r="AQ35" s="321"/>
      <c r="AR35" s="321"/>
      <c r="AS35" s="321"/>
      <c r="AT35" s="322"/>
      <c r="AU35" s="290"/>
      <c r="AV35" s="291"/>
      <c r="AW35" s="292"/>
      <c r="AX35" s="298"/>
      <c r="AY35" s="299"/>
      <c r="AZ35" s="299"/>
      <c r="BA35" s="290"/>
      <c r="BB35" s="291"/>
      <c r="BC35" s="291"/>
      <c r="BD35" s="291"/>
      <c r="BE35" s="291"/>
      <c r="BF35" s="291"/>
      <c r="BG35" s="292"/>
      <c r="BH35" s="164"/>
    </row>
    <row r="36" spans="3:60" ht="16.2" thickBot="1" x14ac:dyDescent="0.35">
      <c r="C36" s="163"/>
      <c r="D36" s="300"/>
      <c r="E36" s="301"/>
      <c r="F36" s="301"/>
      <c r="G36" s="301"/>
      <c r="H36" s="301"/>
      <c r="I36" s="301"/>
      <c r="J36" s="301"/>
      <c r="K36" s="301"/>
      <c r="L36" s="301"/>
      <c r="M36" s="301"/>
      <c r="N36" s="301"/>
      <c r="O36" s="301"/>
      <c r="P36" s="301"/>
      <c r="Q36" s="301"/>
      <c r="R36" s="301"/>
      <c r="S36" s="307"/>
      <c r="T36" s="300"/>
      <c r="U36" s="301"/>
      <c r="V36" s="301"/>
      <c r="W36" s="301"/>
      <c r="X36" s="301"/>
      <c r="Y36" s="300"/>
      <c r="Z36" s="301"/>
      <c r="AA36" s="301"/>
      <c r="AB36" s="301"/>
      <c r="AC36" s="301"/>
      <c r="AD36" s="301"/>
      <c r="AE36" s="307"/>
      <c r="AF36" s="300"/>
      <c r="AG36" s="301"/>
      <c r="AH36" s="301"/>
      <c r="AI36" s="301"/>
      <c r="AJ36" s="301"/>
      <c r="AK36" s="314"/>
      <c r="AL36" s="315"/>
      <c r="AM36" s="315"/>
      <c r="AN36" s="315"/>
      <c r="AO36" s="316"/>
      <c r="AP36" s="323"/>
      <c r="AQ36" s="324"/>
      <c r="AR36" s="324"/>
      <c r="AS36" s="324"/>
      <c r="AT36" s="325"/>
      <c r="AU36" s="293"/>
      <c r="AV36" s="294"/>
      <c r="AW36" s="295"/>
      <c r="AX36" s="300"/>
      <c r="AY36" s="301"/>
      <c r="AZ36" s="301"/>
      <c r="BA36" s="293"/>
      <c r="BB36" s="294"/>
      <c r="BC36" s="294"/>
      <c r="BD36" s="294"/>
      <c r="BE36" s="294"/>
      <c r="BF36" s="294"/>
      <c r="BG36" s="295"/>
      <c r="BH36" s="164"/>
    </row>
    <row r="37" spans="3:60" ht="16.2" thickBot="1" x14ac:dyDescent="0.35">
      <c r="C37" s="163"/>
      <c r="D37" s="165"/>
      <c r="E37" s="171"/>
      <c r="F37" s="165"/>
      <c r="G37" s="165"/>
      <c r="H37" s="165"/>
      <c r="I37" s="165"/>
      <c r="J37" s="165"/>
      <c r="K37" s="165"/>
      <c r="L37" s="165"/>
      <c r="M37" s="165"/>
      <c r="N37" s="165"/>
      <c r="O37" s="165"/>
      <c r="P37" s="165"/>
      <c r="Q37" s="165"/>
      <c r="R37" s="165"/>
      <c r="S37" s="165"/>
      <c r="T37" s="165"/>
      <c r="U37" s="165"/>
      <c r="V37" s="165"/>
      <c r="W37" s="165"/>
      <c r="X37" s="165"/>
      <c r="Y37" s="165"/>
      <c r="Z37" s="165"/>
      <c r="AA37" s="165"/>
      <c r="AB37" s="165"/>
      <c r="AC37" s="165"/>
      <c r="AD37" s="165"/>
      <c r="AE37" s="165"/>
      <c r="AF37" s="165"/>
      <c r="AG37" s="165"/>
      <c r="AH37" s="165"/>
      <c r="AI37" s="165"/>
      <c r="AJ37" s="165"/>
      <c r="AK37" s="165"/>
      <c r="AL37" s="165"/>
      <c r="AM37" s="165"/>
      <c r="AN37" s="165"/>
      <c r="AO37" s="165"/>
      <c r="AP37" s="165"/>
      <c r="AQ37" s="165"/>
      <c r="AR37" s="165"/>
      <c r="AS37" s="165"/>
      <c r="AT37" s="165"/>
      <c r="AU37" s="165"/>
      <c r="AV37" s="165"/>
      <c r="AW37" s="165"/>
      <c r="AX37" s="165"/>
      <c r="AY37" s="165"/>
      <c r="AZ37" s="165"/>
      <c r="BA37" s="165"/>
      <c r="BB37" s="165"/>
      <c r="BC37" s="165"/>
      <c r="BD37" s="165"/>
      <c r="BE37" s="165"/>
      <c r="BF37" s="165"/>
      <c r="BH37" s="164"/>
    </row>
    <row r="38" spans="3:60" ht="15.6" x14ac:dyDescent="0.3">
      <c r="C38" s="163"/>
      <c r="D38" s="302" t="s">
        <v>186</v>
      </c>
      <c r="E38" s="303"/>
      <c r="F38" s="303"/>
      <c r="G38" s="303"/>
      <c r="H38" s="303"/>
      <c r="I38" s="303"/>
      <c r="J38" s="303"/>
      <c r="K38" s="303"/>
      <c r="L38" s="303"/>
      <c r="M38" s="303"/>
      <c r="N38" s="303"/>
      <c r="O38" s="303"/>
      <c r="P38" s="303"/>
      <c r="Q38" s="303"/>
      <c r="R38" s="303"/>
      <c r="S38" s="303"/>
      <c r="T38" s="303"/>
      <c r="U38" s="303"/>
      <c r="V38" s="303"/>
      <c r="W38" s="303"/>
      <c r="X38" s="303"/>
      <c r="Y38" s="303"/>
      <c r="Z38" s="303"/>
      <c r="AA38" s="303"/>
      <c r="AB38" s="303"/>
      <c r="AC38" s="303"/>
      <c r="AD38" s="303"/>
      <c r="AE38" s="303"/>
      <c r="AF38" s="303"/>
      <c r="AG38" s="303"/>
      <c r="AH38" s="303"/>
      <c r="AI38" s="303"/>
      <c r="AJ38" s="303"/>
      <c r="AK38" s="303"/>
      <c r="AL38" s="303"/>
      <c r="AM38" s="303"/>
      <c r="AN38" s="303"/>
      <c r="AO38" s="303"/>
      <c r="AP38" s="303"/>
      <c r="AQ38" s="303"/>
      <c r="AR38" s="303"/>
      <c r="AS38" s="303"/>
      <c r="AT38" s="303"/>
      <c r="AU38" s="303"/>
      <c r="AV38" s="303"/>
      <c r="AW38" s="303"/>
      <c r="AX38" s="303"/>
      <c r="AY38" s="303"/>
      <c r="AZ38" s="303"/>
      <c r="BA38" s="303"/>
      <c r="BB38" s="303"/>
      <c r="BC38" s="303"/>
      <c r="BD38" s="303"/>
      <c r="BE38" s="303"/>
      <c r="BF38" s="303"/>
      <c r="BG38" s="304"/>
      <c r="BH38" s="164"/>
    </row>
    <row r="39" spans="3:60" ht="15.6" x14ac:dyDescent="0.3">
      <c r="C39" s="163"/>
      <c r="D39" s="281" t="s">
        <v>3</v>
      </c>
      <c r="E39" s="282"/>
      <c r="F39" s="282"/>
      <c r="G39" s="282"/>
      <c r="H39" s="282"/>
      <c r="I39" s="282"/>
      <c r="J39" s="282"/>
      <c r="K39" s="282"/>
      <c r="L39" s="282"/>
      <c r="M39" s="282"/>
      <c r="N39" s="282"/>
      <c r="O39" s="282"/>
      <c r="P39" s="282"/>
      <c r="Q39" s="282"/>
      <c r="R39" s="282"/>
      <c r="S39" s="282"/>
      <c r="T39" s="282"/>
      <c r="U39" s="282"/>
      <c r="V39" s="282"/>
      <c r="W39" s="282"/>
      <c r="X39" s="282"/>
      <c r="Y39" s="282"/>
      <c r="Z39" s="282"/>
      <c r="AA39" s="282"/>
      <c r="AB39" s="282"/>
      <c r="AC39" s="282"/>
      <c r="AD39" s="282"/>
      <c r="AE39" s="282"/>
      <c r="AF39" s="282"/>
      <c r="AG39" s="282"/>
      <c r="AH39" s="282"/>
      <c r="AI39" s="282"/>
      <c r="AJ39" s="282"/>
      <c r="AK39" s="282"/>
      <c r="AL39" s="282"/>
      <c r="AM39" s="282"/>
      <c r="AN39" s="282"/>
      <c r="AO39" s="282"/>
      <c r="AP39" s="282"/>
      <c r="AQ39" s="282"/>
      <c r="AR39" s="282"/>
      <c r="AS39" s="282"/>
      <c r="AT39" s="282"/>
      <c r="AU39" s="282"/>
      <c r="AV39" s="282"/>
      <c r="AW39" s="282"/>
      <c r="AX39" s="282"/>
      <c r="AY39" s="282"/>
      <c r="AZ39" s="282"/>
      <c r="BA39" s="282"/>
      <c r="BB39" s="282"/>
      <c r="BC39" s="282"/>
      <c r="BD39" s="282"/>
      <c r="BE39" s="282"/>
      <c r="BF39" s="282"/>
      <c r="BG39" s="283"/>
      <c r="BH39" s="164"/>
    </row>
    <row r="40" spans="3:60" ht="15.6" x14ac:dyDescent="0.3">
      <c r="C40" s="163"/>
      <c r="D40" s="281"/>
      <c r="E40" s="282"/>
      <c r="F40" s="282"/>
      <c r="G40" s="282"/>
      <c r="H40" s="282"/>
      <c r="I40" s="282"/>
      <c r="J40" s="282"/>
      <c r="K40" s="282"/>
      <c r="L40" s="282"/>
      <c r="M40" s="282"/>
      <c r="N40" s="282"/>
      <c r="O40" s="282"/>
      <c r="P40" s="282"/>
      <c r="Q40" s="282"/>
      <c r="R40" s="282"/>
      <c r="S40" s="282"/>
      <c r="T40" s="282"/>
      <c r="U40" s="282"/>
      <c r="V40" s="282"/>
      <c r="W40" s="282"/>
      <c r="X40" s="282"/>
      <c r="Y40" s="282"/>
      <c r="Z40" s="282"/>
      <c r="AA40" s="282"/>
      <c r="AB40" s="282"/>
      <c r="AC40" s="282"/>
      <c r="AD40" s="282"/>
      <c r="AE40" s="282"/>
      <c r="AF40" s="282"/>
      <c r="AG40" s="282"/>
      <c r="AH40" s="282"/>
      <c r="AI40" s="282"/>
      <c r="AJ40" s="282"/>
      <c r="AK40" s="282"/>
      <c r="AL40" s="282"/>
      <c r="AM40" s="282"/>
      <c r="AN40" s="282"/>
      <c r="AO40" s="282"/>
      <c r="AP40" s="282"/>
      <c r="AQ40" s="282"/>
      <c r="AR40" s="282"/>
      <c r="AS40" s="282"/>
      <c r="AT40" s="282"/>
      <c r="AU40" s="282"/>
      <c r="AV40" s="282"/>
      <c r="AW40" s="282"/>
      <c r="AX40" s="282"/>
      <c r="AY40" s="282"/>
      <c r="AZ40" s="282"/>
      <c r="BA40" s="282"/>
      <c r="BB40" s="282"/>
      <c r="BC40" s="282"/>
      <c r="BD40" s="282"/>
      <c r="BE40" s="282"/>
      <c r="BF40" s="282"/>
      <c r="BG40" s="283"/>
      <c r="BH40" s="164"/>
    </row>
    <row r="41" spans="3:60" ht="15.6" x14ac:dyDescent="0.3">
      <c r="C41" s="163"/>
      <c r="D41" s="281"/>
      <c r="E41" s="282"/>
      <c r="F41" s="282"/>
      <c r="G41" s="282"/>
      <c r="H41" s="282"/>
      <c r="I41" s="282"/>
      <c r="J41" s="282"/>
      <c r="K41" s="282"/>
      <c r="L41" s="282"/>
      <c r="M41" s="282"/>
      <c r="N41" s="282"/>
      <c r="O41" s="282"/>
      <c r="P41" s="282"/>
      <c r="Q41" s="282"/>
      <c r="R41" s="282"/>
      <c r="S41" s="282"/>
      <c r="T41" s="282"/>
      <c r="U41" s="282"/>
      <c r="V41" s="282"/>
      <c r="W41" s="282"/>
      <c r="X41" s="282"/>
      <c r="Y41" s="282"/>
      <c r="Z41" s="282"/>
      <c r="AA41" s="282"/>
      <c r="AB41" s="282"/>
      <c r="AC41" s="282"/>
      <c r="AD41" s="282"/>
      <c r="AE41" s="282"/>
      <c r="AF41" s="282"/>
      <c r="AG41" s="282"/>
      <c r="AH41" s="282"/>
      <c r="AI41" s="282"/>
      <c r="AJ41" s="282"/>
      <c r="AK41" s="282"/>
      <c r="AL41" s="282"/>
      <c r="AM41" s="282"/>
      <c r="AN41" s="282"/>
      <c r="AO41" s="282"/>
      <c r="AP41" s="282"/>
      <c r="AQ41" s="282"/>
      <c r="AR41" s="282"/>
      <c r="AS41" s="282"/>
      <c r="AT41" s="282"/>
      <c r="AU41" s="282"/>
      <c r="AV41" s="282"/>
      <c r="AW41" s="282"/>
      <c r="AX41" s="282"/>
      <c r="AY41" s="282"/>
      <c r="AZ41" s="282"/>
      <c r="BA41" s="282"/>
      <c r="BB41" s="282"/>
      <c r="BC41" s="282"/>
      <c r="BD41" s="282"/>
      <c r="BE41" s="282"/>
      <c r="BF41" s="282"/>
      <c r="BG41" s="283"/>
      <c r="BH41" s="164"/>
    </row>
    <row r="42" spans="3:60" ht="15.6" x14ac:dyDescent="0.3">
      <c r="C42" s="163"/>
      <c r="D42" s="281"/>
      <c r="E42" s="282"/>
      <c r="F42" s="282"/>
      <c r="G42" s="282"/>
      <c r="H42" s="282"/>
      <c r="I42" s="282"/>
      <c r="J42" s="282"/>
      <c r="K42" s="282"/>
      <c r="L42" s="282"/>
      <c r="M42" s="282"/>
      <c r="N42" s="282"/>
      <c r="O42" s="282"/>
      <c r="P42" s="282"/>
      <c r="Q42" s="282"/>
      <c r="R42" s="282"/>
      <c r="S42" s="282"/>
      <c r="T42" s="282"/>
      <c r="U42" s="282"/>
      <c r="V42" s="282"/>
      <c r="W42" s="282"/>
      <c r="X42" s="282"/>
      <c r="Y42" s="282"/>
      <c r="Z42" s="282"/>
      <c r="AA42" s="282"/>
      <c r="AB42" s="282"/>
      <c r="AC42" s="282"/>
      <c r="AD42" s="282"/>
      <c r="AE42" s="282"/>
      <c r="AF42" s="282"/>
      <c r="AG42" s="282"/>
      <c r="AH42" s="282"/>
      <c r="AI42" s="282"/>
      <c r="AJ42" s="282"/>
      <c r="AK42" s="282"/>
      <c r="AL42" s="282"/>
      <c r="AM42" s="282"/>
      <c r="AN42" s="282"/>
      <c r="AO42" s="282"/>
      <c r="AP42" s="282"/>
      <c r="AQ42" s="282"/>
      <c r="AR42" s="282"/>
      <c r="AS42" s="282"/>
      <c r="AT42" s="282"/>
      <c r="AU42" s="282"/>
      <c r="AV42" s="282"/>
      <c r="AW42" s="282"/>
      <c r="AX42" s="282"/>
      <c r="AY42" s="282"/>
      <c r="AZ42" s="282"/>
      <c r="BA42" s="282"/>
      <c r="BB42" s="282"/>
      <c r="BC42" s="282"/>
      <c r="BD42" s="282"/>
      <c r="BE42" s="282"/>
      <c r="BF42" s="282"/>
      <c r="BG42" s="283"/>
      <c r="BH42" s="164"/>
    </row>
    <row r="43" spans="3:60" ht="15.6" x14ac:dyDescent="0.3">
      <c r="C43" s="163"/>
      <c r="D43" s="281"/>
      <c r="E43" s="282"/>
      <c r="F43" s="282"/>
      <c r="G43" s="282"/>
      <c r="H43" s="282"/>
      <c r="I43" s="282"/>
      <c r="J43" s="282"/>
      <c r="K43" s="282"/>
      <c r="L43" s="282"/>
      <c r="M43" s="282"/>
      <c r="N43" s="282"/>
      <c r="O43" s="282"/>
      <c r="P43" s="282"/>
      <c r="Q43" s="282"/>
      <c r="R43" s="282"/>
      <c r="S43" s="282"/>
      <c r="T43" s="282"/>
      <c r="U43" s="282"/>
      <c r="V43" s="282"/>
      <c r="W43" s="282"/>
      <c r="X43" s="282"/>
      <c r="Y43" s="282"/>
      <c r="Z43" s="282"/>
      <c r="AA43" s="282"/>
      <c r="AB43" s="282"/>
      <c r="AC43" s="282"/>
      <c r="AD43" s="282"/>
      <c r="AE43" s="282"/>
      <c r="AF43" s="282"/>
      <c r="AG43" s="282"/>
      <c r="AH43" s="282"/>
      <c r="AI43" s="282"/>
      <c r="AJ43" s="282"/>
      <c r="AK43" s="282"/>
      <c r="AL43" s="282"/>
      <c r="AM43" s="282"/>
      <c r="AN43" s="282"/>
      <c r="AO43" s="282"/>
      <c r="AP43" s="282"/>
      <c r="AQ43" s="282"/>
      <c r="AR43" s="282"/>
      <c r="AS43" s="282"/>
      <c r="AT43" s="282"/>
      <c r="AU43" s="282"/>
      <c r="AV43" s="282"/>
      <c r="AW43" s="282"/>
      <c r="AX43" s="282"/>
      <c r="AY43" s="282"/>
      <c r="AZ43" s="282"/>
      <c r="BA43" s="282"/>
      <c r="BB43" s="282"/>
      <c r="BC43" s="282"/>
      <c r="BD43" s="282"/>
      <c r="BE43" s="282"/>
      <c r="BF43" s="282"/>
      <c r="BG43" s="283"/>
      <c r="BH43" s="164"/>
    </row>
    <row r="44" spans="3:60" ht="15.6" x14ac:dyDescent="0.3">
      <c r="C44" s="163"/>
      <c r="D44" s="281"/>
      <c r="E44" s="282"/>
      <c r="F44" s="282"/>
      <c r="G44" s="282"/>
      <c r="H44" s="282"/>
      <c r="I44" s="282"/>
      <c r="J44" s="282"/>
      <c r="K44" s="282"/>
      <c r="L44" s="282"/>
      <c r="M44" s="282"/>
      <c r="N44" s="282"/>
      <c r="O44" s="282"/>
      <c r="P44" s="282"/>
      <c r="Q44" s="282"/>
      <c r="R44" s="282"/>
      <c r="S44" s="282"/>
      <c r="T44" s="282"/>
      <c r="U44" s="282"/>
      <c r="V44" s="282"/>
      <c r="W44" s="282"/>
      <c r="X44" s="282"/>
      <c r="Y44" s="282"/>
      <c r="Z44" s="282"/>
      <c r="AA44" s="282"/>
      <c r="AB44" s="282"/>
      <c r="AC44" s="282"/>
      <c r="AD44" s="282"/>
      <c r="AE44" s="282"/>
      <c r="AF44" s="282"/>
      <c r="AG44" s="282"/>
      <c r="AH44" s="282"/>
      <c r="AI44" s="282"/>
      <c r="AJ44" s="282"/>
      <c r="AK44" s="282"/>
      <c r="AL44" s="282"/>
      <c r="AM44" s="282"/>
      <c r="AN44" s="282"/>
      <c r="AO44" s="282"/>
      <c r="AP44" s="282"/>
      <c r="AQ44" s="282"/>
      <c r="AR44" s="282"/>
      <c r="AS44" s="282"/>
      <c r="AT44" s="282"/>
      <c r="AU44" s="282"/>
      <c r="AV44" s="282"/>
      <c r="AW44" s="282"/>
      <c r="AX44" s="282"/>
      <c r="AY44" s="282"/>
      <c r="AZ44" s="282"/>
      <c r="BA44" s="282"/>
      <c r="BB44" s="282"/>
      <c r="BC44" s="282"/>
      <c r="BD44" s="282"/>
      <c r="BE44" s="282"/>
      <c r="BF44" s="282"/>
      <c r="BG44" s="283"/>
      <c r="BH44" s="164"/>
    </row>
    <row r="45" spans="3:60" ht="15.6" x14ac:dyDescent="0.3">
      <c r="C45" s="163"/>
      <c r="D45" s="281"/>
      <c r="E45" s="282"/>
      <c r="F45" s="282"/>
      <c r="G45" s="282"/>
      <c r="H45" s="282"/>
      <c r="I45" s="282"/>
      <c r="J45" s="282"/>
      <c r="K45" s="282"/>
      <c r="L45" s="282"/>
      <c r="M45" s="282"/>
      <c r="N45" s="282"/>
      <c r="O45" s="282"/>
      <c r="P45" s="282"/>
      <c r="Q45" s="282"/>
      <c r="R45" s="282"/>
      <c r="S45" s="282"/>
      <c r="T45" s="282"/>
      <c r="U45" s="282"/>
      <c r="V45" s="282"/>
      <c r="W45" s="282"/>
      <c r="X45" s="282"/>
      <c r="Y45" s="282"/>
      <c r="Z45" s="282"/>
      <c r="AA45" s="282"/>
      <c r="AB45" s="282"/>
      <c r="AC45" s="282"/>
      <c r="AD45" s="282"/>
      <c r="AE45" s="282"/>
      <c r="AF45" s="282"/>
      <c r="AG45" s="282"/>
      <c r="AH45" s="282"/>
      <c r="AI45" s="282"/>
      <c r="AJ45" s="282"/>
      <c r="AK45" s="282"/>
      <c r="AL45" s="282"/>
      <c r="AM45" s="282"/>
      <c r="AN45" s="282"/>
      <c r="AO45" s="282"/>
      <c r="AP45" s="282"/>
      <c r="AQ45" s="282"/>
      <c r="AR45" s="282"/>
      <c r="AS45" s="282"/>
      <c r="AT45" s="282"/>
      <c r="AU45" s="282"/>
      <c r="AV45" s="282"/>
      <c r="AW45" s="282"/>
      <c r="AX45" s="282"/>
      <c r="AY45" s="282"/>
      <c r="AZ45" s="282"/>
      <c r="BA45" s="282"/>
      <c r="BB45" s="282"/>
      <c r="BC45" s="282"/>
      <c r="BD45" s="282"/>
      <c r="BE45" s="282"/>
      <c r="BF45" s="282"/>
      <c r="BG45" s="283"/>
      <c r="BH45" s="164"/>
    </row>
    <row r="46" spans="3:60" ht="15.6" x14ac:dyDescent="0.3">
      <c r="C46" s="163"/>
      <c r="D46" s="281"/>
      <c r="E46" s="282"/>
      <c r="F46" s="282"/>
      <c r="G46" s="282"/>
      <c r="H46" s="282"/>
      <c r="I46" s="282"/>
      <c r="J46" s="282"/>
      <c r="K46" s="282"/>
      <c r="L46" s="282"/>
      <c r="M46" s="282"/>
      <c r="N46" s="282"/>
      <c r="O46" s="282"/>
      <c r="P46" s="282"/>
      <c r="Q46" s="282"/>
      <c r="R46" s="282"/>
      <c r="S46" s="282"/>
      <c r="T46" s="282"/>
      <c r="U46" s="282"/>
      <c r="V46" s="282"/>
      <c r="W46" s="282"/>
      <c r="X46" s="282"/>
      <c r="Y46" s="282"/>
      <c r="Z46" s="282"/>
      <c r="AA46" s="282"/>
      <c r="AB46" s="282"/>
      <c r="AC46" s="282"/>
      <c r="AD46" s="282"/>
      <c r="AE46" s="282"/>
      <c r="AF46" s="282"/>
      <c r="AG46" s="282"/>
      <c r="AH46" s="282"/>
      <c r="AI46" s="282"/>
      <c r="AJ46" s="282"/>
      <c r="AK46" s="282"/>
      <c r="AL46" s="282"/>
      <c r="AM46" s="282"/>
      <c r="AN46" s="282"/>
      <c r="AO46" s="282"/>
      <c r="AP46" s="282"/>
      <c r="AQ46" s="282"/>
      <c r="AR46" s="282"/>
      <c r="AS46" s="282"/>
      <c r="AT46" s="282"/>
      <c r="AU46" s="282"/>
      <c r="AV46" s="282"/>
      <c r="AW46" s="282"/>
      <c r="AX46" s="282"/>
      <c r="AY46" s="282"/>
      <c r="AZ46" s="282"/>
      <c r="BA46" s="282"/>
      <c r="BB46" s="282"/>
      <c r="BC46" s="282"/>
      <c r="BD46" s="282"/>
      <c r="BE46" s="282"/>
      <c r="BF46" s="282"/>
      <c r="BG46" s="283"/>
      <c r="BH46" s="164"/>
    </row>
    <row r="47" spans="3:60" ht="15.6" x14ac:dyDescent="0.3">
      <c r="C47" s="163"/>
      <c r="D47" s="281"/>
      <c r="E47" s="282"/>
      <c r="F47" s="282"/>
      <c r="G47" s="282"/>
      <c r="H47" s="282"/>
      <c r="I47" s="282"/>
      <c r="J47" s="282"/>
      <c r="K47" s="282"/>
      <c r="L47" s="282"/>
      <c r="M47" s="282"/>
      <c r="N47" s="282"/>
      <c r="O47" s="282"/>
      <c r="P47" s="282"/>
      <c r="Q47" s="282"/>
      <c r="R47" s="282"/>
      <c r="S47" s="282"/>
      <c r="T47" s="282"/>
      <c r="U47" s="282"/>
      <c r="V47" s="282"/>
      <c r="W47" s="282"/>
      <c r="X47" s="282"/>
      <c r="Y47" s="282"/>
      <c r="Z47" s="282"/>
      <c r="AA47" s="282"/>
      <c r="AB47" s="282"/>
      <c r="AC47" s="282"/>
      <c r="AD47" s="282"/>
      <c r="AE47" s="282"/>
      <c r="AF47" s="282"/>
      <c r="AG47" s="282"/>
      <c r="AH47" s="282"/>
      <c r="AI47" s="282"/>
      <c r="AJ47" s="282"/>
      <c r="AK47" s="282"/>
      <c r="AL47" s="282"/>
      <c r="AM47" s="282"/>
      <c r="AN47" s="282"/>
      <c r="AO47" s="282"/>
      <c r="AP47" s="282"/>
      <c r="AQ47" s="282"/>
      <c r="AR47" s="282"/>
      <c r="AS47" s="282"/>
      <c r="AT47" s="282"/>
      <c r="AU47" s="282"/>
      <c r="AV47" s="282"/>
      <c r="AW47" s="282"/>
      <c r="AX47" s="282"/>
      <c r="AY47" s="282"/>
      <c r="AZ47" s="282"/>
      <c r="BA47" s="282"/>
      <c r="BB47" s="282"/>
      <c r="BC47" s="282"/>
      <c r="BD47" s="282"/>
      <c r="BE47" s="282"/>
      <c r="BF47" s="282"/>
      <c r="BG47" s="283"/>
      <c r="BH47" s="164"/>
    </row>
    <row r="48" spans="3:60" ht="16.2" thickBot="1" x14ac:dyDescent="0.35">
      <c r="C48" s="163"/>
      <c r="D48" s="284"/>
      <c r="E48" s="285"/>
      <c r="F48" s="285"/>
      <c r="G48" s="285"/>
      <c r="H48" s="285"/>
      <c r="I48" s="285"/>
      <c r="J48" s="285"/>
      <c r="K48" s="285"/>
      <c r="L48" s="285"/>
      <c r="M48" s="285"/>
      <c r="N48" s="285"/>
      <c r="O48" s="285"/>
      <c r="P48" s="285"/>
      <c r="Q48" s="285"/>
      <c r="R48" s="285"/>
      <c r="S48" s="285"/>
      <c r="T48" s="285"/>
      <c r="U48" s="285"/>
      <c r="V48" s="285"/>
      <c r="W48" s="285"/>
      <c r="X48" s="285"/>
      <c r="Y48" s="285"/>
      <c r="Z48" s="285"/>
      <c r="AA48" s="285"/>
      <c r="AB48" s="285"/>
      <c r="AC48" s="285"/>
      <c r="AD48" s="285"/>
      <c r="AE48" s="285"/>
      <c r="AF48" s="285"/>
      <c r="AG48" s="285"/>
      <c r="AH48" s="285"/>
      <c r="AI48" s="285"/>
      <c r="AJ48" s="285"/>
      <c r="AK48" s="285"/>
      <c r="AL48" s="285"/>
      <c r="AM48" s="285"/>
      <c r="AN48" s="285"/>
      <c r="AO48" s="285"/>
      <c r="AP48" s="285"/>
      <c r="AQ48" s="285"/>
      <c r="AR48" s="285"/>
      <c r="AS48" s="285"/>
      <c r="AT48" s="285"/>
      <c r="AU48" s="285"/>
      <c r="AV48" s="285"/>
      <c r="AW48" s="285"/>
      <c r="AX48" s="285"/>
      <c r="AY48" s="285"/>
      <c r="AZ48" s="285"/>
      <c r="BA48" s="285"/>
      <c r="BB48" s="285"/>
      <c r="BC48" s="285"/>
      <c r="BD48" s="285"/>
      <c r="BE48" s="285"/>
      <c r="BF48" s="285"/>
      <c r="BG48" s="286"/>
      <c r="BH48" s="164"/>
    </row>
    <row r="49" spans="3:60" ht="15" thickBot="1" x14ac:dyDescent="0.35">
      <c r="C49" s="175"/>
      <c r="D49" s="161"/>
      <c r="E49" s="161"/>
      <c r="F49" s="161"/>
      <c r="G49" s="161"/>
      <c r="H49" s="161"/>
      <c r="I49" s="161"/>
      <c r="J49" s="161"/>
      <c r="K49" s="161"/>
      <c r="L49" s="161"/>
      <c r="M49" s="161"/>
      <c r="N49" s="161"/>
      <c r="O49" s="161"/>
      <c r="P49" s="161"/>
      <c r="Q49" s="161"/>
      <c r="R49" s="161"/>
      <c r="S49" s="161"/>
      <c r="T49" s="161"/>
      <c r="U49" s="161"/>
      <c r="V49" s="161"/>
      <c r="W49" s="161"/>
      <c r="X49" s="161"/>
      <c r="Y49" s="161"/>
      <c r="Z49" s="161"/>
      <c r="AA49" s="161"/>
      <c r="AB49" s="161"/>
      <c r="AC49" s="161"/>
      <c r="AD49" s="161"/>
      <c r="AE49" s="161"/>
      <c r="AF49" s="161"/>
      <c r="AG49" s="161"/>
      <c r="AH49" s="161"/>
      <c r="AI49" s="161"/>
      <c r="AJ49" s="161"/>
      <c r="AK49" s="161"/>
      <c r="AL49" s="161"/>
      <c r="AM49" s="161"/>
      <c r="AN49" s="161"/>
      <c r="AO49" s="161"/>
      <c r="AP49" s="161"/>
      <c r="AQ49" s="161"/>
      <c r="AR49" s="161"/>
      <c r="AS49" s="161"/>
      <c r="AT49" s="161"/>
      <c r="AU49" s="161"/>
      <c r="AV49" s="161"/>
      <c r="AW49" s="161"/>
      <c r="AX49" s="161"/>
      <c r="AY49" s="161"/>
      <c r="AZ49" s="161"/>
      <c r="BA49" s="161"/>
      <c r="BB49" s="161"/>
      <c r="BC49" s="161"/>
      <c r="BD49" s="161"/>
      <c r="BE49" s="161"/>
      <c r="BF49" s="161"/>
      <c r="BG49" s="161"/>
      <c r="BH49" s="169"/>
    </row>
    <row r="344" spans="25:25" x14ac:dyDescent="0.3">
      <c r="Y344" s="162">
        <v>9</v>
      </c>
    </row>
  </sheetData>
  <mergeCells count="113">
    <mergeCell ref="D39:BG48"/>
    <mergeCell ref="AU34:AW36"/>
    <mergeCell ref="AX34:AZ36"/>
    <mergeCell ref="BA34:BG36"/>
    <mergeCell ref="D38:BG38"/>
    <mergeCell ref="D34:S36"/>
    <mergeCell ref="T34:X36"/>
    <mergeCell ref="Y34:AE36"/>
    <mergeCell ref="AF34:AJ36"/>
    <mergeCell ref="AK34:AO36"/>
    <mergeCell ref="AP34:AT36"/>
    <mergeCell ref="AN31:BG31"/>
    <mergeCell ref="D33:S33"/>
    <mergeCell ref="T33:X33"/>
    <mergeCell ref="Y33:AE33"/>
    <mergeCell ref="AF33:AJ33"/>
    <mergeCell ref="AK33:AO33"/>
    <mergeCell ref="AP33:AT33"/>
    <mergeCell ref="AU33:AW33"/>
    <mergeCell ref="AX33:AZ33"/>
    <mergeCell ref="BA33:BG33"/>
    <mergeCell ref="D31:H31"/>
    <mergeCell ref="I31:M31"/>
    <mergeCell ref="N31:Q31"/>
    <mergeCell ref="R31:V31"/>
    <mergeCell ref="W31:Z31"/>
    <mergeCell ref="AA31:AM31"/>
    <mergeCell ref="D27:Q27"/>
    <mergeCell ref="R27:AQ27"/>
    <mergeCell ref="AS27:AX27"/>
    <mergeCell ref="AY27:BC27"/>
    <mergeCell ref="BD27:BG27"/>
    <mergeCell ref="D29:M29"/>
    <mergeCell ref="N29:AL29"/>
    <mergeCell ref="AM29:AP29"/>
    <mergeCell ref="AQ29:AU29"/>
    <mergeCell ref="AW29:BG29"/>
    <mergeCell ref="D23:N23"/>
    <mergeCell ref="O23:BG23"/>
    <mergeCell ref="D24:P24"/>
    <mergeCell ref="Q24:AL24"/>
    <mergeCell ref="AM24:AN24"/>
    <mergeCell ref="AO24:AX24"/>
    <mergeCell ref="AY24:BC24"/>
    <mergeCell ref="BD24:BG24"/>
    <mergeCell ref="D25:G25"/>
    <mergeCell ref="H25:S25"/>
    <mergeCell ref="T25:AD25"/>
    <mergeCell ref="AE25:AM25"/>
    <mergeCell ref="AN25:AQ25"/>
    <mergeCell ref="AR25:AS25"/>
    <mergeCell ref="AT25:AV25"/>
    <mergeCell ref="AW25:BG25"/>
    <mergeCell ref="D19:J19"/>
    <mergeCell ref="K19:W19"/>
    <mergeCell ref="X19:AI19"/>
    <mergeCell ref="AJ19:AU19"/>
    <mergeCell ref="AW19:BG19"/>
    <mergeCell ref="D21:I21"/>
    <mergeCell ref="J21:N21"/>
    <mergeCell ref="O21:W21"/>
    <mergeCell ref="X21:AH21"/>
    <mergeCell ref="AI21:AO21"/>
    <mergeCell ref="AP21:AT21"/>
    <mergeCell ref="AU21:BC21"/>
    <mergeCell ref="BD21:BG21"/>
    <mergeCell ref="K17:W17"/>
    <mergeCell ref="X17:AI17"/>
    <mergeCell ref="AJ17:AX17"/>
    <mergeCell ref="AY17:BC17"/>
    <mergeCell ref="BD17:BG17"/>
    <mergeCell ref="D18:J18"/>
    <mergeCell ref="K18:W18"/>
    <mergeCell ref="X18:AI18"/>
    <mergeCell ref="AJ18:AU18"/>
    <mergeCell ref="AW18:BG18"/>
    <mergeCell ref="AW13:AZ13"/>
    <mergeCell ref="BA13:BG13"/>
    <mergeCell ref="D15:J15"/>
    <mergeCell ref="K15:BG15"/>
    <mergeCell ref="D16:J16"/>
    <mergeCell ref="K16:AN16"/>
    <mergeCell ref="AO16:AQ16"/>
    <mergeCell ref="AS16:AU16"/>
    <mergeCell ref="AW16:BC16"/>
    <mergeCell ref="BD16:BG16"/>
    <mergeCell ref="D13:J13"/>
    <mergeCell ref="K13:W13"/>
    <mergeCell ref="X13:AA13"/>
    <mergeCell ref="AB13:AI13"/>
    <mergeCell ref="AJ13:AR13"/>
    <mergeCell ref="AS13:AV13"/>
    <mergeCell ref="AW4:BF4"/>
    <mergeCell ref="AW5:BF5"/>
    <mergeCell ref="AW6:BA6"/>
    <mergeCell ref="BB6:BF6"/>
    <mergeCell ref="AW7:BA7"/>
    <mergeCell ref="BB7:BF7"/>
    <mergeCell ref="D12:J12"/>
    <mergeCell ref="K12:W12"/>
    <mergeCell ref="X12:AI12"/>
    <mergeCell ref="AJ12:AX12"/>
    <mergeCell ref="AY12:BC12"/>
    <mergeCell ref="BD12:BG12"/>
    <mergeCell ref="D10:J10"/>
    <mergeCell ref="K10:BG10"/>
    <mergeCell ref="D11:J11"/>
    <mergeCell ref="K11:AN11"/>
    <mergeCell ref="AO11:AQ11"/>
    <mergeCell ref="AS11:AU11"/>
    <mergeCell ref="AW11:BC11"/>
    <mergeCell ref="BD11:BG11"/>
    <mergeCell ref="D3:U8"/>
  </mergeCells>
  <dataValidations count="2">
    <dataValidation type="list" allowBlank="1" showInputMessage="1" showErrorMessage="1" sqref="A10" xr:uid="{3214B608-1765-4454-8D96-A5E891E13A8D}">
      <formula1>ListaFornecedores</formula1>
    </dataValidation>
    <dataValidation type="list" allowBlank="1" showInputMessage="1" showErrorMessage="1" sqref="A15" xr:uid="{1E3A4035-DC56-4703-9DBC-CDAD690E3B16}">
      <formula1>ListaClientes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legacyDrawing r:id="rId3"/>
  <controls>
    <mc:AlternateContent xmlns:mc="http://schemas.openxmlformats.org/markup-compatibility/2006">
      <mc:Choice Requires="x14">
        <control shapeId="1027" r:id="rId4" name="novo">
          <controlPr defaultSize="0" autoLine="0" autoPict="0" r:id="rId5">
            <anchor moveWithCells="1">
              <from>
                <xdr:col>0</xdr:col>
                <xdr:colOff>68580</xdr:colOff>
                <xdr:row>21</xdr:row>
                <xdr:rowOff>91440</xdr:rowOff>
              </from>
              <to>
                <xdr:col>1</xdr:col>
                <xdr:colOff>68580</xdr:colOff>
                <xdr:row>23</xdr:row>
                <xdr:rowOff>7620</xdr:rowOff>
              </to>
            </anchor>
          </controlPr>
        </control>
      </mc:Choice>
      <mc:Fallback>
        <control shapeId="1027" r:id="rId4" name="novo"/>
      </mc:Fallback>
    </mc:AlternateContent>
    <mc:AlternateContent xmlns:mc="http://schemas.openxmlformats.org/markup-compatibility/2006">
      <mc:Choice Requires="x14">
        <control shapeId="1028" r:id="rId6" name="atualizar">
          <controlPr defaultSize="0" autoLine="0" r:id="rId7">
            <anchor moveWithCells="1">
              <from>
                <xdr:col>0</xdr:col>
                <xdr:colOff>76200</xdr:colOff>
                <xdr:row>23</xdr:row>
                <xdr:rowOff>106680</xdr:rowOff>
              </from>
              <to>
                <xdr:col>1</xdr:col>
                <xdr:colOff>76200</xdr:colOff>
                <xdr:row>25</xdr:row>
                <xdr:rowOff>22860</xdr:rowOff>
              </to>
            </anchor>
          </controlPr>
        </control>
      </mc:Choice>
      <mc:Fallback>
        <control shapeId="1028" r:id="rId6" name="atualizar"/>
      </mc:Fallback>
    </mc:AlternateContent>
    <mc:AlternateContent xmlns:mc="http://schemas.openxmlformats.org/markup-compatibility/2006">
      <mc:Choice Requires="x14">
        <control shapeId="1029" r:id="rId8" name="gravar">
          <controlPr defaultSize="0" autoLine="0" r:id="rId9">
            <anchor moveWithCells="1">
              <from>
                <xdr:col>0</xdr:col>
                <xdr:colOff>68580</xdr:colOff>
                <xdr:row>25</xdr:row>
                <xdr:rowOff>114300</xdr:rowOff>
              </from>
              <to>
                <xdr:col>1</xdr:col>
                <xdr:colOff>68580</xdr:colOff>
                <xdr:row>27</xdr:row>
                <xdr:rowOff>30480</xdr:rowOff>
              </to>
            </anchor>
          </controlPr>
        </control>
      </mc:Choice>
      <mc:Fallback>
        <control shapeId="1029" r:id="rId8" name="gravar"/>
      </mc:Fallback>
    </mc:AlternateContent>
    <mc:AlternateContent xmlns:mc="http://schemas.openxmlformats.org/markup-compatibility/2006">
      <mc:Choice Requires="x14">
        <control shapeId="1030" r:id="rId10" name="excluir">
          <controlPr defaultSize="0" autoLine="0" r:id="rId11">
            <anchor moveWithCells="1">
              <from>
                <xdr:col>0</xdr:col>
                <xdr:colOff>76200</xdr:colOff>
                <xdr:row>28</xdr:row>
                <xdr:rowOff>7620</xdr:rowOff>
              </from>
              <to>
                <xdr:col>1</xdr:col>
                <xdr:colOff>76200</xdr:colOff>
                <xdr:row>29</xdr:row>
                <xdr:rowOff>129540</xdr:rowOff>
              </to>
            </anchor>
          </controlPr>
        </control>
      </mc:Choice>
      <mc:Fallback>
        <control shapeId="1030" r:id="rId10" name="excluir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FDA3B-7C95-44EC-9ED6-C956A7F276C5}">
  <sheetPr codeName="Planilha2"/>
  <dimension ref="A1:V495"/>
  <sheetViews>
    <sheetView topLeftCell="A237" zoomScale="55" zoomScaleNormal="55" workbookViewId="0">
      <selection activeCell="B18" sqref="B18"/>
    </sheetView>
  </sheetViews>
  <sheetFormatPr defaultRowHeight="14.4" x14ac:dyDescent="0.3"/>
  <cols>
    <col min="1" max="1" width="18" style="89" customWidth="1"/>
    <col min="2" max="2" width="9.6640625" style="157" customWidth="1"/>
    <col min="3" max="3" width="12.109375" style="150" customWidth="1"/>
    <col min="4" max="4" width="12.33203125" style="204" bestFit="1" customWidth="1"/>
    <col min="5" max="5" width="12.5546875" style="89" customWidth="1"/>
    <col min="6" max="6" width="13.6640625" style="89" customWidth="1"/>
    <col min="7" max="7" width="11.6640625" style="89" bestFit="1" customWidth="1"/>
    <col min="8" max="8" width="9.44140625" style="89" bestFit="1" customWidth="1"/>
    <col min="9" max="9" width="9.33203125" style="89" customWidth="1"/>
    <col min="10" max="10" width="15.33203125" style="89" customWidth="1"/>
    <col min="11" max="11" width="13" style="89" customWidth="1"/>
    <col min="12" max="12" width="12.21875" style="89" customWidth="1"/>
    <col min="13" max="13" width="8.109375" style="89" bestFit="1" customWidth="1"/>
    <col min="14" max="14" width="11.6640625" style="89" bestFit="1" customWidth="1"/>
    <col min="15" max="16" width="11.5546875" style="89" bestFit="1" customWidth="1"/>
    <col min="17" max="17" width="12.109375" style="89" customWidth="1"/>
    <col min="18" max="18" width="6.21875" style="89" customWidth="1"/>
    <col min="19" max="19" width="19.109375" style="89" bestFit="1" customWidth="1"/>
    <col min="20" max="20" width="11.44140625" customWidth="1"/>
  </cols>
  <sheetData>
    <row r="1" spans="1:22" s="153" customFormat="1" ht="33.6" customHeight="1" x14ac:dyDescent="0.3">
      <c r="A1" s="151" t="s">
        <v>20</v>
      </c>
      <c r="B1" s="154" t="s">
        <v>1</v>
      </c>
      <c r="C1" s="151" t="s">
        <v>2</v>
      </c>
      <c r="D1" s="205" t="s">
        <v>4</v>
      </c>
      <c r="E1" s="151" t="s">
        <v>84</v>
      </c>
      <c r="F1" s="151" t="s">
        <v>85</v>
      </c>
      <c r="G1" s="158" t="s">
        <v>5</v>
      </c>
      <c r="H1" s="151" t="s">
        <v>6</v>
      </c>
      <c r="I1" s="151" t="s">
        <v>31</v>
      </c>
      <c r="J1" s="151" t="s">
        <v>86</v>
      </c>
      <c r="K1" s="151" t="s">
        <v>87</v>
      </c>
      <c r="L1" s="152" t="s">
        <v>88</v>
      </c>
      <c r="M1" s="152" t="s">
        <v>22</v>
      </c>
      <c r="N1" s="158" t="s">
        <v>5</v>
      </c>
      <c r="O1" s="152" t="s">
        <v>7</v>
      </c>
      <c r="P1" s="151" t="s">
        <v>0</v>
      </c>
      <c r="Q1" s="151" t="s">
        <v>89</v>
      </c>
      <c r="R1" s="151" t="s">
        <v>24</v>
      </c>
      <c r="S1" s="151" t="s">
        <v>8</v>
      </c>
      <c r="T1" s="202" t="s">
        <v>189</v>
      </c>
      <c r="U1" s="202" t="s">
        <v>190</v>
      </c>
      <c r="V1" s="202" t="s">
        <v>149</v>
      </c>
    </row>
    <row r="2" spans="1:22" x14ac:dyDescent="0.3">
      <c r="A2" s="89" t="s">
        <v>83</v>
      </c>
      <c r="B2" s="135" t="s">
        <v>13</v>
      </c>
      <c r="C2" s="134" t="s">
        <v>23</v>
      </c>
      <c r="D2" s="5">
        <v>4</v>
      </c>
      <c r="E2" s="1">
        <v>5</v>
      </c>
      <c r="F2" s="9">
        <v>6</v>
      </c>
      <c r="G2" s="9">
        <v>7</v>
      </c>
      <c r="H2" s="4">
        <v>8</v>
      </c>
      <c r="I2" s="5">
        <v>9</v>
      </c>
      <c r="J2" s="1">
        <v>10</v>
      </c>
      <c r="K2" s="1">
        <v>11</v>
      </c>
      <c r="L2" s="1">
        <v>12</v>
      </c>
      <c r="M2" s="1">
        <v>13</v>
      </c>
      <c r="N2" s="13">
        <v>14</v>
      </c>
      <c r="O2" s="7">
        <v>15</v>
      </c>
      <c r="P2" s="7">
        <v>16</v>
      </c>
      <c r="Q2" s="7">
        <v>17</v>
      </c>
      <c r="R2" s="7">
        <v>18</v>
      </c>
      <c r="S2" s="19">
        <v>19</v>
      </c>
      <c r="T2" s="55">
        <v>20</v>
      </c>
      <c r="U2" s="203">
        <v>21</v>
      </c>
      <c r="V2" s="203">
        <v>22</v>
      </c>
    </row>
    <row r="3" spans="1:22" x14ac:dyDescent="0.3">
      <c r="A3" s="89" t="s">
        <v>83</v>
      </c>
      <c r="B3" s="135" t="s">
        <v>13</v>
      </c>
      <c r="C3" s="134" t="s">
        <v>23</v>
      </c>
      <c r="D3" s="5">
        <v>90</v>
      </c>
      <c r="E3" s="1" t="s">
        <v>10</v>
      </c>
      <c r="F3" s="2">
        <v>45845</v>
      </c>
      <c r="G3" s="9">
        <v>20</v>
      </c>
      <c r="H3" s="4" t="s">
        <v>9</v>
      </c>
      <c r="I3" s="5">
        <f>(N3/500)</f>
        <v>40</v>
      </c>
      <c r="J3" s="6">
        <v>571</v>
      </c>
      <c r="K3" s="90">
        <v>45884</v>
      </c>
      <c r="L3" s="38">
        <v>45891</v>
      </c>
      <c r="M3" s="1">
        <v>25327</v>
      </c>
      <c r="N3" s="13">
        <v>20000</v>
      </c>
      <c r="O3" s="7">
        <f t="shared" ref="O3:O34" si="0">(N3-G3*1000)</f>
        <v>0</v>
      </c>
      <c r="P3" s="10">
        <f>(N3*J3/1000)</f>
        <v>11420</v>
      </c>
      <c r="Q3" s="10">
        <f>(P3*0.05)</f>
        <v>571</v>
      </c>
      <c r="R3" s="1">
        <v>5</v>
      </c>
      <c r="S3" s="1"/>
      <c r="T3" s="55"/>
    </row>
    <row r="4" spans="1:22" x14ac:dyDescent="0.3">
      <c r="A4" s="89" t="s">
        <v>83</v>
      </c>
      <c r="B4" s="135" t="s">
        <v>13</v>
      </c>
      <c r="C4" s="134" t="s">
        <v>23</v>
      </c>
      <c r="D4" s="5">
        <v>91</v>
      </c>
      <c r="E4" s="1" t="s">
        <v>10</v>
      </c>
      <c r="F4" s="2">
        <v>45845</v>
      </c>
      <c r="G4" s="9">
        <v>20</v>
      </c>
      <c r="H4" s="4" t="s">
        <v>9</v>
      </c>
      <c r="I4" s="5">
        <f>(N4/500)</f>
        <v>40</v>
      </c>
      <c r="J4" s="6">
        <v>571</v>
      </c>
      <c r="K4" s="90">
        <v>45915</v>
      </c>
      <c r="L4" s="38">
        <v>45912</v>
      </c>
      <c r="M4" s="1">
        <v>25457</v>
      </c>
      <c r="N4" s="13">
        <v>20000</v>
      </c>
      <c r="O4" s="7">
        <f t="shared" si="0"/>
        <v>0</v>
      </c>
      <c r="P4" s="10">
        <f>(N4*J4/1000)</f>
        <v>11420</v>
      </c>
      <c r="Q4" s="10">
        <f>(P4*0.05)</f>
        <v>571</v>
      </c>
      <c r="R4" s="1">
        <v>5</v>
      </c>
      <c r="S4" s="19"/>
      <c r="T4" s="55"/>
    </row>
    <row r="5" spans="1:22" x14ac:dyDescent="0.3">
      <c r="A5" s="89" t="s">
        <v>83</v>
      </c>
      <c r="B5" s="144" t="s">
        <v>13</v>
      </c>
      <c r="C5" s="133" t="s">
        <v>23</v>
      </c>
      <c r="D5" s="118">
        <v>92</v>
      </c>
      <c r="E5" s="80" t="s">
        <v>10</v>
      </c>
      <c r="F5" s="81">
        <v>45915</v>
      </c>
      <c r="G5" s="86">
        <v>20</v>
      </c>
      <c r="H5" s="83" t="s">
        <v>9</v>
      </c>
      <c r="I5" s="118">
        <f>(N5/500)</f>
        <v>40</v>
      </c>
      <c r="J5" s="84">
        <v>571</v>
      </c>
      <c r="K5" s="114">
        <v>45975</v>
      </c>
      <c r="L5" s="115">
        <v>45975</v>
      </c>
      <c r="M5" s="80"/>
      <c r="N5" s="119">
        <v>20000</v>
      </c>
      <c r="O5" s="85">
        <f t="shared" si="0"/>
        <v>0</v>
      </c>
      <c r="P5" s="88">
        <f>(N5*J5/1000)</f>
        <v>11420</v>
      </c>
      <c r="Q5" s="88">
        <f>(P5*0.05)</f>
        <v>571</v>
      </c>
      <c r="R5" s="80">
        <v>5</v>
      </c>
      <c r="S5" s="1"/>
    </row>
    <row r="6" spans="1:22" x14ac:dyDescent="0.3">
      <c r="A6" s="89" t="s">
        <v>83</v>
      </c>
      <c r="B6" s="135" t="s">
        <v>78</v>
      </c>
      <c r="C6" s="135" t="s">
        <v>35</v>
      </c>
      <c r="D6" s="75">
        <v>2</v>
      </c>
      <c r="E6" s="1" t="s">
        <v>18</v>
      </c>
      <c r="F6" s="11">
        <v>45912</v>
      </c>
      <c r="G6" s="109">
        <v>25</v>
      </c>
      <c r="H6" s="4" t="s">
        <v>9</v>
      </c>
      <c r="I6" s="4">
        <v>25</v>
      </c>
      <c r="J6" s="35">
        <v>462</v>
      </c>
      <c r="K6" s="90">
        <v>45915</v>
      </c>
      <c r="L6" s="38">
        <v>45912</v>
      </c>
      <c r="M6" s="1">
        <v>25455</v>
      </c>
      <c r="N6" s="7">
        <v>25000</v>
      </c>
      <c r="O6" s="7">
        <f t="shared" si="0"/>
        <v>0</v>
      </c>
      <c r="P6" s="6">
        <v>7600</v>
      </c>
      <c r="Q6" s="6">
        <v>380</v>
      </c>
      <c r="R6" s="13">
        <v>5</v>
      </c>
      <c r="S6" s="91"/>
      <c r="T6" s="55"/>
    </row>
    <row r="7" spans="1:22" x14ac:dyDescent="0.3">
      <c r="A7" s="89" t="s">
        <v>83</v>
      </c>
      <c r="B7" s="135" t="s">
        <v>14</v>
      </c>
      <c r="C7" s="135" t="s">
        <v>74</v>
      </c>
      <c r="D7" s="75">
        <v>19</v>
      </c>
      <c r="E7" s="1" t="s">
        <v>18</v>
      </c>
      <c r="F7" s="11">
        <v>45818</v>
      </c>
      <c r="G7" s="109">
        <v>10</v>
      </c>
      <c r="H7" s="4" t="s">
        <v>9</v>
      </c>
      <c r="I7" s="4">
        <v>10</v>
      </c>
      <c r="J7" s="35">
        <v>409.5</v>
      </c>
      <c r="K7" s="90">
        <v>45831</v>
      </c>
      <c r="L7" s="38">
        <v>45819</v>
      </c>
      <c r="M7" s="1">
        <v>24982</v>
      </c>
      <c r="N7" s="13">
        <v>10000</v>
      </c>
      <c r="O7" s="7">
        <f t="shared" si="0"/>
        <v>0</v>
      </c>
      <c r="P7" s="10">
        <f t="shared" ref="P7:P36" si="1">(N7*J7/1000)</f>
        <v>4095</v>
      </c>
      <c r="Q7" s="10">
        <f t="shared" ref="Q7:Q24" si="2">(P7*0.05)</f>
        <v>204.75</v>
      </c>
      <c r="R7" s="13">
        <v>5</v>
      </c>
      <c r="S7" s="1" t="s">
        <v>3</v>
      </c>
      <c r="T7" s="55"/>
    </row>
    <row r="8" spans="1:22" x14ac:dyDescent="0.3">
      <c r="A8" s="89" t="s">
        <v>83</v>
      </c>
      <c r="B8" s="135" t="s">
        <v>71</v>
      </c>
      <c r="C8" s="134" t="s">
        <v>38</v>
      </c>
      <c r="D8" s="75">
        <v>1</v>
      </c>
      <c r="E8" s="1" t="s">
        <v>10</v>
      </c>
      <c r="F8" s="2">
        <v>45800</v>
      </c>
      <c r="G8" s="7">
        <v>45</v>
      </c>
      <c r="H8" s="4" t="s">
        <v>9</v>
      </c>
      <c r="I8" s="4">
        <f>(G8*1000/500)</f>
        <v>90</v>
      </c>
      <c r="J8" s="6">
        <v>526.20000000000005</v>
      </c>
      <c r="K8" s="90">
        <v>45805</v>
      </c>
      <c r="L8" s="38">
        <v>45806</v>
      </c>
      <c r="M8" s="4">
        <v>24932</v>
      </c>
      <c r="N8" s="7">
        <v>45000</v>
      </c>
      <c r="O8" s="7">
        <f t="shared" si="0"/>
        <v>0</v>
      </c>
      <c r="P8" s="10">
        <f t="shared" si="1"/>
        <v>23679.000000000004</v>
      </c>
      <c r="Q8" s="6">
        <f t="shared" si="2"/>
        <v>1183.9500000000003</v>
      </c>
      <c r="R8" s="1">
        <v>5</v>
      </c>
      <c r="S8" s="1" t="s">
        <v>3</v>
      </c>
      <c r="T8" s="55"/>
    </row>
    <row r="9" spans="1:22" x14ac:dyDescent="0.3">
      <c r="A9" s="89" t="s">
        <v>83</v>
      </c>
      <c r="B9" s="135" t="s">
        <v>71</v>
      </c>
      <c r="C9" s="134" t="s">
        <v>30</v>
      </c>
      <c r="D9" s="75">
        <v>2</v>
      </c>
      <c r="E9" s="1" t="s">
        <v>10</v>
      </c>
      <c r="F9" s="2">
        <v>45800</v>
      </c>
      <c r="G9" s="37">
        <v>25.2</v>
      </c>
      <c r="H9" s="4" t="s">
        <v>9</v>
      </c>
      <c r="I9" s="4">
        <f>(G9*1000/400)</f>
        <v>63</v>
      </c>
      <c r="J9" s="6">
        <v>993.4</v>
      </c>
      <c r="K9" s="90">
        <v>45805</v>
      </c>
      <c r="L9" s="38">
        <v>45806</v>
      </c>
      <c r="M9" s="4">
        <v>24932</v>
      </c>
      <c r="N9" s="7">
        <v>25200</v>
      </c>
      <c r="O9" s="7">
        <f t="shared" si="0"/>
        <v>0</v>
      </c>
      <c r="P9" s="10">
        <f t="shared" si="1"/>
        <v>25033.68</v>
      </c>
      <c r="Q9" s="6">
        <f t="shared" si="2"/>
        <v>1251.6840000000002</v>
      </c>
      <c r="R9" s="1">
        <v>5</v>
      </c>
      <c r="S9" s="1" t="s">
        <v>3</v>
      </c>
      <c r="T9" s="55"/>
    </row>
    <row r="10" spans="1:22" x14ac:dyDescent="0.3">
      <c r="A10" s="89" t="s">
        <v>83</v>
      </c>
      <c r="B10" s="138" t="s">
        <v>71</v>
      </c>
      <c r="C10" s="136" t="s">
        <v>38</v>
      </c>
      <c r="D10" s="206">
        <v>3</v>
      </c>
      <c r="E10" s="19" t="s">
        <v>10</v>
      </c>
      <c r="F10" s="39">
        <v>45817</v>
      </c>
      <c r="G10" s="20">
        <v>90</v>
      </c>
      <c r="H10" s="23" t="s">
        <v>9</v>
      </c>
      <c r="I10" s="23">
        <f>(G10*1000/500)</f>
        <v>180</v>
      </c>
      <c r="J10" s="28">
        <v>526.20000000000005</v>
      </c>
      <c r="K10" s="92">
        <v>45821</v>
      </c>
      <c r="L10" s="93">
        <v>45820</v>
      </c>
      <c r="M10" s="23">
        <v>24993</v>
      </c>
      <c r="N10" s="20">
        <v>90000</v>
      </c>
      <c r="O10" s="20">
        <f t="shared" si="0"/>
        <v>0</v>
      </c>
      <c r="P10" s="25">
        <f t="shared" si="1"/>
        <v>47358.000000000007</v>
      </c>
      <c r="Q10" s="28">
        <f t="shared" si="2"/>
        <v>2367.9000000000005</v>
      </c>
      <c r="R10" s="19">
        <v>5</v>
      </c>
      <c r="S10" s="1" t="s">
        <v>3</v>
      </c>
      <c r="T10" s="55"/>
    </row>
    <row r="11" spans="1:22" x14ac:dyDescent="0.3">
      <c r="A11" s="89" t="s">
        <v>83</v>
      </c>
      <c r="B11" s="138" t="s">
        <v>71</v>
      </c>
      <c r="C11" s="136" t="s">
        <v>76</v>
      </c>
      <c r="D11" s="206">
        <v>4</v>
      </c>
      <c r="E11" s="19" t="s">
        <v>18</v>
      </c>
      <c r="F11" s="39">
        <v>45835</v>
      </c>
      <c r="G11" s="20">
        <v>50</v>
      </c>
      <c r="H11" s="23" t="s">
        <v>9</v>
      </c>
      <c r="I11" s="23">
        <f>(G11*1000/500)</f>
        <v>100</v>
      </c>
      <c r="J11" s="28">
        <v>526.20000000000005</v>
      </c>
      <c r="K11" s="92">
        <v>45835</v>
      </c>
      <c r="L11" s="93">
        <v>45834</v>
      </c>
      <c r="M11" s="23">
        <v>25050</v>
      </c>
      <c r="N11" s="20">
        <v>50000</v>
      </c>
      <c r="O11" s="20">
        <f t="shared" si="0"/>
        <v>0</v>
      </c>
      <c r="P11" s="25">
        <f t="shared" si="1"/>
        <v>26310.000000000004</v>
      </c>
      <c r="Q11" s="28">
        <f t="shared" si="2"/>
        <v>1315.5000000000002</v>
      </c>
      <c r="R11" s="19">
        <v>5</v>
      </c>
      <c r="S11" s="1" t="s">
        <v>3</v>
      </c>
      <c r="T11" s="55"/>
    </row>
    <row r="12" spans="1:22" x14ac:dyDescent="0.3">
      <c r="A12" s="89" t="s">
        <v>83</v>
      </c>
      <c r="B12" s="138" t="s">
        <v>71</v>
      </c>
      <c r="C12" s="136" t="s">
        <v>76</v>
      </c>
      <c r="D12" s="206">
        <v>5</v>
      </c>
      <c r="E12" s="19" t="s">
        <v>18</v>
      </c>
      <c r="F12" s="39">
        <v>45864</v>
      </c>
      <c r="G12" s="20">
        <v>50</v>
      </c>
      <c r="H12" s="23" t="s">
        <v>9</v>
      </c>
      <c r="I12" s="23">
        <f>(G12*1000/500)</f>
        <v>100</v>
      </c>
      <c r="J12" s="28">
        <v>526.20000000000005</v>
      </c>
      <c r="K12" s="92">
        <v>45866</v>
      </c>
      <c r="L12" s="93">
        <v>45866</v>
      </c>
      <c r="M12" s="23">
        <v>25191</v>
      </c>
      <c r="N12" s="20">
        <v>50000</v>
      </c>
      <c r="O12" s="20">
        <f t="shared" si="0"/>
        <v>0</v>
      </c>
      <c r="P12" s="25">
        <f t="shared" si="1"/>
        <v>26310.000000000004</v>
      </c>
      <c r="Q12" s="28">
        <f t="shared" si="2"/>
        <v>1315.5000000000002</v>
      </c>
      <c r="R12" s="19">
        <v>5</v>
      </c>
      <c r="S12" s="1" t="s">
        <v>3</v>
      </c>
      <c r="T12" s="55"/>
    </row>
    <row r="13" spans="1:22" x14ac:dyDescent="0.3">
      <c r="A13" s="89" t="s">
        <v>83</v>
      </c>
      <c r="B13" s="135" t="s">
        <v>71</v>
      </c>
      <c r="C13" s="134" t="s">
        <v>30</v>
      </c>
      <c r="D13" s="75">
        <v>6</v>
      </c>
      <c r="E13" s="1" t="s">
        <v>18</v>
      </c>
      <c r="F13" s="39">
        <v>45864</v>
      </c>
      <c r="G13" s="112">
        <v>25.2</v>
      </c>
      <c r="H13" s="23" t="s">
        <v>9</v>
      </c>
      <c r="I13" s="23">
        <f>(G13*1000/500)</f>
        <v>50.4</v>
      </c>
      <c r="J13" s="28">
        <v>993.4</v>
      </c>
      <c r="K13" s="92">
        <v>45866</v>
      </c>
      <c r="L13" s="93">
        <v>45866</v>
      </c>
      <c r="M13" s="23">
        <v>25191</v>
      </c>
      <c r="N13" s="20">
        <v>26000</v>
      </c>
      <c r="O13" s="20">
        <f t="shared" si="0"/>
        <v>800</v>
      </c>
      <c r="P13" s="25">
        <f t="shared" si="1"/>
        <v>25828.400000000001</v>
      </c>
      <c r="Q13" s="28">
        <f t="shared" si="2"/>
        <v>1291.42</v>
      </c>
      <c r="R13" s="19">
        <v>5</v>
      </c>
      <c r="S13" s="1" t="s">
        <v>3</v>
      </c>
      <c r="T13" s="55"/>
    </row>
    <row r="14" spans="1:22" x14ac:dyDescent="0.3">
      <c r="A14" s="89" t="s">
        <v>83</v>
      </c>
      <c r="B14" s="135" t="s">
        <v>71</v>
      </c>
      <c r="C14" s="134" t="s">
        <v>30</v>
      </c>
      <c r="D14" s="75">
        <v>7</v>
      </c>
      <c r="E14" s="1" t="s">
        <v>18</v>
      </c>
      <c r="F14" s="2">
        <v>45866</v>
      </c>
      <c r="G14" s="7">
        <v>78</v>
      </c>
      <c r="H14" s="4" t="s">
        <v>9</v>
      </c>
      <c r="I14" s="4">
        <v>195</v>
      </c>
      <c r="J14" s="6">
        <v>993.4</v>
      </c>
      <c r="K14" s="90">
        <v>45869</v>
      </c>
      <c r="L14" s="38">
        <v>45869</v>
      </c>
      <c r="M14" s="4">
        <v>25223</v>
      </c>
      <c r="N14" s="7">
        <v>78000</v>
      </c>
      <c r="O14" s="7">
        <f t="shared" si="0"/>
        <v>0</v>
      </c>
      <c r="P14" s="10">
        <f t="shared" si="1"/>
        <v>77485.2</v>
      </c>
      <c r="Q14" s="6">
        <f t="shared" si="2"/>
        <v>3874.26</v>
      </c>
      <c r="R14" s="1">
        <v>5</v>
      </c>
      <c r="S14" s="1" t="s">
        <v>3</v>
      </c>
      <c r="T14" s="55"/>
    </row>
    <row r="15" spans="1:22" x14ac:dyDescent="0.3">
      <c r="A15" s="89" t="s">
        <v>83</v>
      </c>
      <c r="B15" s="138" t="s">
        <v>71</v>
      </c>
      <c r="C15" s="136" t="s">
        <v>76</v>
      </c>
      <c r="D15" s="206">
        <v>8</v>
      </c>
      <c r="E15" s="19" t="s">
        <v>18</v>
      </c>
      <c r="F15" s="39">
        <v>45866</v>
      </c>
      <c r="G15" s="50">
        <v>25</v>
      </c>
      <c r="H15" s="23" t="s">
        <v>9</v>
      </c>
      <c r="I15" s="23">
        <f>(G15*1000/500)</f>
        <v>50</v>
      </c>
      <c r="J15" s="28">
        <v>526.20000000000005</v>
      </c>
      <c r="K15" s="92">
        <v>45883</v>
      </c>
      <c r="L15" s="93">
        <v>45881</v>
      </c>
      <c r="M15" s="23">
        <v>25272</v>
      </c>
      <c r="N15" s="20">
        <v>25000</v>
      </c>
      <c r="O15" s="20">
        <f t="shared" si="0"/>
        <v>0</v>
      </c>
      <c r="P15" s="25">
        <f t="shared" si="1"/>
        <v>13155.000000000002</v>
      </c>
      <c r="Q15" s="28">
        <f t="shared" si="2"/>
        <v>657.75000000000011</v>
      </c>
      <c r="R15" s="19">
        <v>5</v>
      </c>
      <c r="S15" s="1"/>
      <c r="T15" s="55"/>
    </row>
    <row r="16" spans="1:22" x14ac:dyDescent="0.3">
      <c r="A16" s="89" t="s">
        <v>83</v>
      </c>
      <c r="B16" s="138" t="s">
        <v>71</v>
      </c>
      <c r="C16" s="136" t="s">
        <v>30</v>
      </c>
      <c r="D16" s="206">
        <v>9</v>
      </c>
      <c r="E16" s="19" t="s">
        <v>18</v>
      </c>
      <c r="F16" s="39">
        <v>45866</v>
      </c>
      <c r="G16" s="50">
        <v>52</v>
      </c>
      <c r="H16" s="23" t="s">
        <v>9</v>
      </c>
      <c r="I16" s="23">
        <v>130</v>
      </c>
      <c r="J16" s="28">
        <v>993.4</v>
      </c>
      <c r="K16" s="92">
        <v>45883</v>
      </c>
      <c r="L16" s="93">
        <v>45881</v>
      </c>
      <c r="M16" s="23">
        <v>25272</v>
      </c>
      <c r="N16" s="20">
        <v>52000</v>
      </c>
      <c r="O16" s="20">
        <f t="shared" si="0"/>
        <v>0</v>
      </c>
      <c r="P16" s="25">
        <f t="shared" si="1"/>
        <v>51656.800000000003</v>
      </c>
      <c r="Q16" s="28">
        <f t="shared" si="2"/>
        <v>2582.84</v>
      </c>
      <c r="R16" s="19">
        <v>5</v>
      </c>
      <c r="S16" s="91"/>
      <c r="T16" s="55"/>
    </row>
    <row r="17" spans="1:20" x14ac:dyDescent="0.3">
      <c r="A17" s="89" t="s">
        <v>83</v>
      </c>
      <c r="B17" s="135" t="s">
        <v>71</v>
      </c>
      <c r="C17" s="134" t="s">
        <v>76</v>
      </c>
      <c r="D17" s="75">
        <v>10</v>
      </c>
      <c r="E17" s="1" t="s">
        <v>18</v>
      </c>
      <c r="F17" s="2">
        <v>45866</v>
      </c>
      <c r="G17" s="7">
        <v>50</v>
      </c>
      <c r="H17" s="4" t="s">
        <v>9</v>
      </c>
      <c r="I17" s="4">
        <f>(G17*1000/500)</f>
        <v>100</v>
      </c>
      <c r="J17" s="6">
        <v>526.20000000000005</v>
      </c>
      <c r="K17" s="90">
        <v>45894</v>
      </c>
      <c r="L17" s="38">
        <v>45895</v>
      </c>
      <c r="M17" s="4">
        <v>25353</v>
      </c>
      <c r="N17" s="7">
        <v>50000</v>
      </c>
      <c r="O17" s="7">
        <f t="shared" si="0"/>
        <v>0</v>
      </c>
      <c r="P17" s="10">
        <f t="shared" si="1"/>
        <v>26310.000000000004</v>
      </c>
      <c r="Q17" s="6">
        <f t="shared" si="2"/>
        <v>1315.5000000000002</v>
      </c>
      <c r="R17" s="1">
        <v>5</v>
      </c>
      <c r="S17" s="19"/>
      <c r="T17" s="55"/>
    </row>
    <row r="18" spans="1:20" x14ac:dyDescent="0.3">
      <c r="A18" s="89" t="s">
        <v>83</v>
      </c>
      <c r="B18" s="135" t="s">
        <v>71</v>
      </c>
      <c r="C18" s="134" t="s">
        <v>30</v>
      </c>
      <c r="D18" s="75">
        <v>11</v>
      </c>
      <c r="E18" s="1" t="s">
        <v>18</v>
      </c>
      <c r="F18" s="2">
        <v>45866</v>
      </c>
      <c r="G18" s="7">
        <v>52</v>
      </c>
      <c r="H18" s="4" t="s">
        <v>9</v>
      </c>
      <c r="I18" s="4">
        <f>(G18*1000/400)</f>
        <v>130</v>
      </c>
      <c r="J18" s="6">
        <v>993.4</v>
      </c>
      <c r="K18" s="90">
        <v>45894</v>
      </c>
      <c r="L18" s="38">
        <v>45895</v>
      </c>
      <c r="M18" s="4">
        <v>25353</v>
      </c>
      <c r="N18" s="7">
        <v>52000</v>
      </c>
      <c r="O18" s="7">
        <f t="shared" si="0"/>
        <v>0</v>
      </c>
      <c r="P18" s="10">
        <f t="shared" si="1"/>
        <v>51656.800000000003</v>
      </c>
      <c r="Q18" s="6">
        <f t="shared" si="2"/>
        <v>2582.84</v>
      </c>
      <c r="R18" s="1">
        <v>5</v>
      </c>
      <c r="S18" s="19"/>
      <c r="T18" s="55"/>
    </row>
    <row r="19" spans="1:20" x14ac:dyDescent="0.3">
      <c r="A19" s="89" t="s">
        <v>83</v>
      </c>
      <c r="B19" s="135" t="s">
        <v>71</v>
      </c>
      <c r="C19" s="134" t="s">
        <v>76</v>
      </c>
      <c r="D19" s="75">
        <v>12</v>
      </c>
      <c r="E19" s="1" t="s">
        <v>18</v>
      </c>
      <c r="F19" s="2">
        <v>45866</v>
      </c>
      <c r="G19" s="7">
        <v>50</v>
      </c>
      <c r="H19" s="4" t="s">
        <v>9</v>
      </c>
      <c r="I19" s="4">
        <f>(G19*1000/500)</f>
        <v>100</v>
      </c>
      <c r="J19" s="6">
        <v>526.20000000000005</v>
      </c>
      <c r="K19" s="90">
        <v>45908</v>
      </c>
      <c r="L19" s="38">
        <v>45905</v>
      </c>
      <c r="M19" s="4">
        <v>25400</v>
      </c>
      <c r="N19" s="7">
        <v>50000</v>
      </c>
      <c r="O19" s="7">
        <f t="shared" si="0"/>
        <v>0</v>
      </c>
      <c r="P19" s="10">
        <f t="shared" si="1"/>
        <v>26310.000000000004</v>
      </c>
      <c r="Q19" s="6">
        <f t="shared" si="2"/>
        <v>1315.5000000000002</v>
      </c>
      <c r="R19" s="1">
        <v>5</v>
      </c>
      <c r="S19" s="19"/>
      <c r="T19" s="55"/>
    </row>
    <row r="20" spans="1:20" x14ac:dyDescent="0.3">
      <c r="A20" s="89" t="s">
        <v>83</v>
      </c>
      <c r="B20" s="135" t="s">
        <v>71</v>
      </c>
      <c r="C20" s="134" t="s">
        <v>30</v>
      </c>
      <c r="D20" s="75">
        <v>13</v>
      </c>
      <c r="E20" s="1" t="s">
        <v>18</v>
      </c>
      <c r="F20" s="2">
        <v>45866</v>
      </c>
      <c r="G20" s="7">
        <v>52</v>
      </c>
      <c r="H20" s="4" t="s">
        <v>9</v>
      </c>
      <c r="I20" s="4">
        <f>(G20*1000/400)</f>
        <v>130</v>
      </c>
      <c r="J20" s="6">
        <v>993.4</v>
      </c>
      <c r="K20" s="90">
        <v>45908</v>
      </c>
      <c r="L20" s="38">
        <v>45905</v>
      </c>
      <c r="M20" s="4">
        <v>25400</v>
      </c>
      <c r="N20" s="7">
        <v>52000</v>
      </c>
      <c r="O20" s="7">
        <f t="shared" si="0"/>
        <v>0</v>
      </c>
      <c r="P20" s="10">
        <f t="shared" si="1"/>
        <v>51656.800000000003</v>
      </c>
      <c r="Q20" s="6">
        <f t="shared" si="2"/>
        <v>2582.84</v>
      </c>
      <c r="R20" s="1">
        <v>5</v>
      </c>
      <c r="S20" s="19"/>
      <c r="T20" s="55"/>
    </row>
    <row r="21" spans="1:20" x14ac:dyDescent="0.3">
      <c r="A21" s="89" t="s">
        <v>83</v>
      </c>
      <c r="B21" s="135" t="s">
        <v>71</v>
      </c>
      <c r="C21" s="134" t="s">
        <v>76</v>
      </c>
      <c r="D21" s="75">
        <v>14</v>
      </c>
      <c r="E21" s="1" t="s">
        <v>18</v>
      </c>
      <c r="F21" s="2">
        <v>45866</v>
      </c>
      <c r="G21" s="7">
        <v>50</v>
      </c>
      <c r="H21" s="4" t="s">
        <v>9</v>
      </c>
      <c r="I21" s="4">
        <f>(G21*1000/500)</f>
        <v>100</v>
      </c>
      <c r="J21" s="6">
        <v>526.20000000000005</v>
      </c>
      <c r="K21" s="90">
        <v>45915</v>
      </c>
      <c r="L21" s="38">
        <v>45915</v>
      </c>
      <c r="M21" s="4">
        <v>25466</v>
      </c>
      <c r="N21" s="7">
        <v>50000</v>
      </c>
      <c r="O21" s="7">
        <f t="shared" si="0"/>
        <v>0</v>
      </c>
      <c r="P21" s="10">
        <f t="shared" si="1"/>
        <v>26310.000000000004</v>
      </c>
      <c r="Q21" s="6">
        <f t="shared" si="2"/>
        <v>1315.5000000000002</v>
      </c>
      <c r="R21" s="1">
        <v>5</v>
      </c>
      <c r="S21" s="19"/>
      <c r="T21" s="55"/>
    </row>
    <row r="22" spans="1:20" x14ac:dyDescent="0.3">
      <c r="A22" s="89" t="s">
        <v>83</v>
      </c>
      <c r="B22" s="135" t="s">
        <v>71</v>
      </c>
      <c r="C22" s="134" t="s">
        <v>30</v>
      </c>
      <c r="D22" s="75">
        <v>15</v>
      </c>
      <c r="E22" s="1" t="s">
        <v>18</v>
      </c>
      <c r="F22" s="2">
        <v>45866</v>
      </c>
      <c r="G22" s="7">
        <v>52</v>
      </c>
      <c r="H22" s="4" t="s">
        <v>9</v>
      </c>
      <c r="I22" s="4">
        <f>(G22*1000/400)</f>
        <v>130</v>
      </c>
      <c r="J22" s="6">
        <v>993.4</v>
      </c>
      <c r="K22" s="90">
        <v>45915</v>
      </c>
      <c r="L22" s="38">
        <v>45915</v>
      </c>
      <c r="M22" s="4">
        <v>25466</v>
      </c>
      <c r="N22" s="7">
        <v>52000</v>
      </c>
      <c r="O22" s="7">
        <f t="shared" si="0"/>
        <v>0</v>
      </c>
      <c r="P22" s="10">
        <f t="shared" si="1"/>
        <v>51656.800000000003</v>
      </c>
      <c r="Q22" s="6">
        <f t="shared" si="2"/>
        <v>2582.84</v>
      </c>
      <c r="R22" s="1">
        <v>5</v>
      </c>
      <c r="S22" s="19"/>
      <c r="T22" s="55"/>
    </row>
    <row r="23" spans="1:20" x14ac:dyDescent="0.3">
      <c r="A23" s="89" t="s">
        <v>83</v>
      </c>
      <c r="B23" s="138" t="s">
        <v>71</v>
      </c>
      <c r="C23" s="136" t="s">
        <v>76</v>
      </c>
      <c r="D23" s="206">
        <v>16</v>
      </c>
      <c r="E23" s="19" t="s">
        <v>18</v>
      </c>
      <c r="F23" s="39">
        <v>45866</v>
      </c>
      <c r="G23" s="50">
        <v>50</v>
      </c>
      <c r="H23" s="23" t="s">
        <v>9</v>
      </c>
      <c r="I23" s="23">
        <f>(G23*1000/500)</f>
        <v>100</v>
      </c>
      <c r="J23" s="28">
        <v>526.20000000000005</v>
      </c>
      <c r="K23" s="92">
        <v>45925</v>
      </c>
      <c r="L23" s="93">
        <v>45937</v>
      </c>
      <c r="M23" s="23">
        <v>25598</v>
      </c>
      <c r="N23" s="20">
        <v>50000</v>
      </c>
      <c r="O23" s="20">
        <f t="shared" si="0"/>
        <v>0</v>
      </c>
      <c r="P23" s="25">
        <f t="shared" si="1"/>
        <v>26310.000000000004</v>
      </c>
      <c r="Q23" s="28">
        <f t="shared" si="2"/>
        <v>1315.5000000000002</v>
      </c>
      <c r="R23" s="19">
        <v>5</v>
      </c>
      <c r="S23" s="91"/>
      <c r="T23" s="79"/>
    </row>
    <row r="24" spans="1:20" x14ac:dyDescent="0.3">
      <c r="A24" s="89" t="s">
        <v>83</v>
      </c>
      <c r="B24" s="138" t="s">
        <v>71</v>
      </c>
      <c r="C24" s="136" t="s">
        <v>30</v>
      </c>
      <c r="D24" s="206">
        <v>17</v>
      </c>
      <c r="E24" s="19" t="s">
        <v>18</v>
      </c>
      <c r="F24" s="39">
        <v>45866</v>
      </c>
      <c r="G24" s="50">
        <v>26</v>
      </c>
      <c r="H24" s="23" t="s">
        <v>9</v>
      </c>
      <c r="I24" s="23">
        <v>65</v>
      </c>
      <c r="J24" s="28">
        <v>993.4</v>
      </c>
      <c r="K24" s="92">
        <v>45925</v>
      </c>
      <c r="L24" s="93">
        <v>45937</v>
      </c>
      <c r="M24" s="23">
        <v>25598</v>
      </c>
      <c r="N24" s="20">
        <v>26000</v>
      </c>
      <c r="O24" s="20">
        <f t="shared" si="0"/>
        <v>0</v>
      </c>
      <c r="P24" s="25">
        <f t="shared" si="1"/>
        <v>25828.400000000001</v>
      </c>
      <c r="Q24" s="28">
        <f t="shared" si="2"/>
        <v>1291.42</v>
      </c>
      <c r="R24" s="19">
        <v>5</v>
      </c>
      <c r="S24" s="91"/>
      <c r="T24" s="79"/>
    </row>
    <row r="25" spans="1:20" x14ac:dyDescent="0.3">
      <c r="A25" s="89" t="s">
        <v>83</v>
      </c>
      <c r="B25" s="137" t="s">
        <v>36</v>
      </c>
      <c r="C25" s="137" t="s">
        <v>26</v>
      </c>
      <c r="D25" s="60">
        <v>6</v>
      </c>
      <c r="E25" s="43" t="s">
        <v>12</v>
      </c>
      <c r="F25" s="43">
        <v>45674</v>
      </c>
      <c r="G25" s="44">
        <v>38.5</v>
      </c>
      <c r="H25" s="36" t="s">
        <v>9</v>
      </c>
      <c r="I25" s="36">
        <f>(G25*1000/500)</f>
        <v>77</v>
      </c>
      <c r="J25" s="45">
        <v>0</v>
      </c>
      <c r="K25" s="95">
        <v>45720</v>
      </c>
      <c r="L25" s="96">
        <v>45720</v>
      </c>
      <c r="M25" s="42"/>
      <c r="N25" s="46">
        <v>38500</v>
      </c>
      <c r="O25" s="47">
        <f t="shared" si="0"/>
        <v>0</v>
      </c>
      <c r="P25" s="48">
        <f t="shared" si="1"/>
        <v>0</v>
      </c>
      <c r="Q25" s="48">
        <v>0</v>
      </c>
      <c r="R25" s="46">
        <v>5</v>
      </c>
      <c r="S25" s="97" t="s">
        <v>11</v>
      </c>
      <c r="T25" s="8"/>
    </row>
    <row r="26" spans="1:20" x14ac:dyDescent="0.3">
      <c r="A26" s="89" t="s">
        <v>83</v>
      </c>
      <c r="B26" s="135" t="s">
        <v>36</v>
      </c>
      <c r="C26" s="135" t="s">
        <v>26</v>
      </c>
      <c r="D26" s="5">
        <v>6</v>
      </c>
      <c r="E26" s="11" t="s">
        <v>12</v>
      </c>
      <c r="F26" s="11">
        <v>45674</v>
      </c>
      <c r="G26" s="34">
        <v>60</v>
      </c>
      <c r="H26" s="4" t="s">
        <v>9</v>
      </c>
      <c r="I26" s="5">
        <v>120</v>
      </c>
      <c r="J26" s="16">
        <v>427</v>
      </c>
      <c r="K26" s="90">
        <v>45720</v>
      </c>
      <c r="L26" s="38">
        <v>45692</v>
      </c>
      <c r="M26" s="1">
        <v>24302</v>
      </c>
      <c r="N26" s="13">
        <v>21500</v>
      </c>
      <c r="O26" s="7">
        <f t="shared" si="0"/>
        <v>-38500</v>
      </c>
      <c r="P26" s="10">
        <f t="shared" si="1"/>
        <v>9180.5</v>
      </c>
      <c r="Q26" s="10">
        <f>(P26*0.05)</f>
        <v>459.02500000000003</v>
      </c>
      <c r="R26" s="13">
        <v>5</v>
      </c>
      <c r="S26" s="1" t="s">
        <v>3</v>
      </c>
      <c r="T26" s="8"/>
    </row>
    <row r="27" spans="1:20" x14ac:dyDescent="0.3">
      <c r="A27" s="89" t="s">
        <v>83</v>
      </c>
      <c r="B27" s="137" t="s">
        <v>36</v>
      </c>
      <c r="C27" s="137" t="s">
        <v>26</v>
      </c>
      <c r="D27" s="60">
        <v>7</v>
      </c>
      <c r="E27" s="43" t="s">
        <v>12</v>
      </c>
      <c r="F27" s="43">
        <v>45699</v>
      </c>
      <c r="G27" s="44">
        <v>39</v>
      </c>
      <c r="H27" s="36" t="s">
        <v>9</v>
      </c>
      <c r="I27" s="36">
        <f>(G27*1000/500)</f>
        <v>78</v>
      </c>
      <c r="J27" s="45">
        <v>0</v>
      </c>
      <c r="K27" s="95">
        <v>45720</v>
      </c>
      <c r="L27" s="96">
        <v>45720</v>
      </c>
      <c r="M27" s="42"/>
      <c r="N27" s="46">
        <v>39000</v>
      </c>
      <c r="O27" s="47">
        <f t="shared" si="0"/>
        <v>0</v>
      </c>
      <c r="P27" s="48">
        <f t="shared" si="1"/>
        <v>0</v>
      </c>
      <c r="Q27" s="48">
        <v>0</v>
      </c>
      <c r="R27" s="46">
        <v>5</v>
      </c>
      <c r="S27" s="97" t="s">
        <v>11</v>
      </c>
      <c r="T27" s="8"/>
    </row>
    <row r="28" spans="1:20" x14ac:dyDescent="0.3">
      <c r="A28" s="89" t="s">
        <v>83</v>
      </c>
      <c r="B28" s="135" t="s">
        <v>21</v>
      </c>
      <c r="C28" s="134" t="s">
        <v>30</v>
      </c>
      <c r="D28" s="75">
        <v>12</v>
      </c>
      <c r="E28" s="1" t="s">
        <v>18</v>
      </c>
      <c r="F28" s="2">
        <v>45681</v>
      </c>
      <c r="G28" s="7">
        <v>20</v>
      </c>
      <c r="H28" s="4" t="s">
        <v>9</v>
      </c>
      <c r="I28" s="4">
        <v>50</v>
      </c>
      <c r="J28" s="6">
        <v>1027</v>
      </c>
      <c r="K28" s="90">
        <v>45698</v>
      </c>
      <c r="L28" s="38">
        <v>45695</v>
      </c>
      <c r="M28" s="4">
        <v>24295</v>
      </c>
      <c r="N28" s="7">
        <v>20000</v>
      </c>
      <c r="O28" s="7">
        <f t="shared" si="0"/>
        <v>0</v>
      </c>
      <c r="P28" s="10">
        <f t="shared" si="1"/>
        <v>20540</v>
      </c>
      <c r="Q28" s="6">
        <f t="shared" ref="Q28:Q59" si="3">(P28*0.05)</f>
        <v>1027</v>
      </c>
      <c r="R28" s="1">
        <v>5</v>
      </c>
      <c r="S28" s="1" t="s">
        <v>3</v>
      </c>
      <c r="T28" s="8"/>
    </row>
    <row r="29" spans="1:20" x14ac:dyDescent="0.3">
      <c r="A29" s="89" t="s">
        <v>83</v>
      </c>
      <c r="B29" s="138" t="s">
        <v>21</v>
      </c>
      <c r="C29" s="136" t="s">
        <v>30</v>
      </c>
      <c r="D29" s="206">
        <v>13</v>
      </c>
      <c r="E29" s="19" t="s">
        <v>12</v>
      </c>
      <c r="F29" s="39">
        <v>45734</v>
      </c>
      <c r="G29" s="20">
        <v>20</v>
      </c>
      <c r="H29" s="23" t="s">
        <v>9</v>
      </c>
      <c r="I29" s="23">
        <v>50</v>
      </c>
      <c r="J29" s="28">
        <v>1078</v>
      </c>
      <c r="K29" s="92">
        <v>45741</v>
      </c>
      <c r="L29" s="93">
        <v>45748</v>
      </c>
      <c r="M29" s="23">
        <v>24621</v>
      </c>
      <c r="N29" s="20">
        <v>20000</v>
      </c>
      <c r="O29" s="20">
        <f t="shared" si="0"/>
        <v>0</v>
      </c>
      <c r="P29" s="25">
        <f t="shared" si="1"/>
        <v>21560</v>
      </c>
      <c r="Q29" s="28">
        <f t="shared" si="3"/>
        <v>1078</v>
      </c>
      <c r="R29" s="19">
        <v>5</v>
      </c>
      <c r="S29" s="1" t="s">
        <v>3</v>
      </c>
      <c r="T29" s="8"/>
    </row>
    <row r="30" spans="1:20" x14ac:dyDescent="0.3">
      <c r="A30" s="89" t="s">
        <v>83</v>
      </c>
      <c r="B30" s="138" t="s">
        <v>21</v>
      </c>
      <c r="C30" s="136" t="s">
        <v>38</v>
      </c>
      <c r="D30" s="206">
        <v>14</v>
      </c>
      <c r="E30" s="19" t="s">
        <v>12</v>
      </c>
      <c r="F30" s="39">
        <v>45734</v>
      </c>
      <c r="G30" s="20">
        <v>10</v>
      </c>
      <c r="H30" s="23" t="s">
        <v>9</v>
      </c>
      <c r="I30" s="23">
        <v>20</v>
      </c>
      <c r="J30" s="28">
        <v>544</v>
      </c>
      <c r="K30" s="92">
        <v>45741</v>
      </c>
      <c r="L30" s="93">
        <v>45748</v>
      </c>
      <c r="M30" s="23">
        <v>24621</v>
      </c>
      <c r="N30" s="20">
        <v>10000</v>
      </c>
      <c r="O30" s="20">
        <f t="shared" si="0"/>
        <v>0</v>
      </c>
      <c r="P30" s="25">
        <f t="shared" si="1"/>
        <v>5440</v>
      </c>
      <c r="Q30" s="28">
        <f t="shared" si="3"/>
        <v>272</v>
      </c>
      <c r="R30" s="19">
        <v>5</v>
      </c>
      <c r="S30" s="94" t="s">
        <v>3</v>
      </c>
      <c r="T30" s="8"/>
    </row>
    <row r="31" spans="1:20" x14ac:dyDescent="0.3">
      <c r="A31" s="89" t="s">
        <v>83</v>
      </c>
      <c r="B31" s="135" t="s">
        <v>21</v>
      </c>
      <c r="C31" s="134" t="s">
        <v>30</v>
      </c>
      <c r="D31" s="75">
        <v>15</v>
      </c>
      <c r="E31" s="1" t="s">
        <v>10</v>
      </c>
      <c r="F31" s="2">
        <v>45798</v>
      </c>
      <c r="G31" s="54">
        <v>20</v>
      </c>
      <c r="H31" s="4" t="s">
        <v>9</v>
      </c>
      <c r="I31" s="4">
        <v>50</v>
      </c>
      <c r="J31" s="6">
        <v>1078</v>
      </c>
      <c r="K31" s="90">
        <v>45817</v>
      </c>
      <c r="L31" s="38">
        <v>45805</v>
      </c>
      <c r="M31" s="4">
        <v>24925</v>
      </c>
      <c r="N31" s="7">
        <v>20000</v>
      </c>
      <c r="O31" s="7">
        <f t="shared" si="0"/>
        <v>0</v>
      </c>
      <c r="P31" s="10">
        <f t="shared" si="1"/>
        <v>21560</v>
      </c>
      <c r="Q31" s="6">
        <f t="shared" si="3"/>
        <v>1078</v>
      </c>
      <c r="R31" s="1">
        <v>5</v>
      </c>
      <c r="S31" s="1" t="s">
        <v>3</v>
      </c>
      <c r="T31" s="55"/>
    </row>
    <row r="32" spans="1:20" x14ac:dyDescent="0.3">
      <c r="A32" s="89" t="s">
        <v>83</v>
      </c>
      <c r="B32" s="135" t="s">
        <v>21</v>
      </c>
      <c r="C32" s="134" t="s">
        <v>30</v>
      </c>
      <c r="D32" s="75">
        <v>16</v>
      </c>
      <c r="E32" s="1" t="s">
        <v>18</v>
      </c>
      <c r="F32" s="2">
        <v>45846</v>
      </c>
      <c r="G32" s="54">
        <v>20</v>
      </c>
      <c r="H32" s="4" t="s">
        <v>9</v>
      </c>
      <c r="I32" s="4">
        <v>50</v>
      </c>
      <c r="J32" s="6">
        <v>1078</v>
      </c>
      <c r="K32" s="90">
        <v>45866</v>
      </c>
      <c r="L32" s="38">
        <v>45849</v>
      </c>
      <c r="M32" s="4">
        <v>25115</v>
      </c>
      <c r="N32" s="7">
        <v>20000</v>
      </c>
      <c r="O32" s="7">
        <f t="shared" si="0"/>
        <v>0</v>
      </c>
      <c r="P32" s="10">
        <f t="shared" si="1"/>
        <v>21560</v>
      </c>
      <c r="Q32" s="6">
        <f t="shared" si="3"/>
        <v>1078</v>
      </c>
      <c r="R32" s="1">
        <v>5</v>
      </c>
      <c r="S32" s="1" t="s">
        <v>3</v>
      </c>
      <c r="T32" s="55"/>
    </row>
    <row r="33" spans="1:20" x14ac:dyDescent="0.3">
      <c r="A33" s="89" t="s">
        <v>83</v>
      </c>
      <c r="B33" s="135" t="s">
        <v>21</v>
      </c>
      <c r="C33" s="134" t="s">
        <v>30</v>
      </c>
      <c r="D33" s="75">
        <v>17</v>
      </c>
      <c r="E33" s="1" t="s">
        <v>18</v>
      </c>
      <c r="F33" s="2">
        <v>45882</v>
      </c>
      <c r="G33" s="54">
        <v>30</v>
      </c>
      <c r="H33" s="4" t="s">
        <v>9</v>
      </c>
      <c r="I33" s="4">
        <v>50</v>
      </c>
      <c r="J33" s="6">
        <v>1078</v>
      </c>
      <c r="K33" s="90">
        <v>45891</v>
      </c>
      <c r="L33" s="38">
        <v>45891</v>
      </c>
      <c r="M33" s="4">
        <v>25328</v>
      </c>
      <c r="N33" s="7">
        <v>30000</v>
      </c>
      <c r="O33" s="7">
        <f t="shared" si="0"/>
        <v>0</v>
      </c>
      <c r="P33" s="10">
        <f t="shared" si="1"/>
        <v>32340</v>
      </c>
      <c r="Q33" s="6">
        <f t="shared" si="3"/>
        <v>1617</v>
      </c>
      <c r="R33" s="1">
        <v>5</v>
      </c>
      <c r="S33" s="91" t="s">
        <v>81</v>
      </c>
      <c r="T33" s="55"/>
    </row>
    <row r="34" spans="1:20" x14ac:dyDescent="0.3">
      <c r="A34" s="89" t="s">
        <v>83</v>
      </c>
      <c r="B34" s="135" t="s">
        <v>80</v>
      </c>
      <c r="C34" s="134" t="s">
        <v>30</v>
      </c>
      <c r="D34" s="75">
        <v>18</v>
      </c>
      <c r="E34" s="1" t="s">
        <v>18</v>
      </c>
      <c r="F34" s="2">
        <v>45924</v>
      </c>
      <c r="G34" s="54">
        <v>50</v>
      </c>
      <c r="H34" s="4" t="s">
        <v>9</v>
      </c>
      <c r="I34" s="4">
        <v>125</v>
      </c>
      <c r="J34" s="6">
        <v>1078</v>
      </c>
      <c r="K34" s="90">
        <v>45936</v>
      </c>
      <c r="L34" s="38">
        <v>45924</v>
      </c>
      <c r="M34" s="4">
        <v>25529</v>
      </c>
      <c r="N34" s="7">
        <v>50000</v>
      </c>
      <c r="O34" s="7">
        <f t="shared" si="0"/>
        <v>0</v>
      </c>
      <c r="P34" s="10">
        <f t="shared" si="1"/>
        <v>53900</v>
      </c>
      <c r="Q34" s="6">
        <f t="shared" si="3"/>
        <v>2695</v>
      </c>
      <c r="R34" s="1">
        <v>5</v>
      </c>
      <c r="S34" s="91"/>
      <c r="T34" s="79"/>
    </row>
    <row r="35" spans="1:20" x14ac:dyDescent="0.3">
      <c r="A35" s="89" t="s">
        <v>83</v>
      </c>
      <c r="B35" s="135" t="s">
        <v>80</v>
      </c>
      <c r="C35" s="134" t="s">
        <v>30</v>
      </c>
      <c r="D35" s="75">
        <v>19</v>
      </c>
      <c r="E35" s="1" t="s">
        <v>18</v>
      </c>
      <c r="F35" s="2">
        <v>45924</v>
      </c>
      <c r="G35" s="54">
        <v>50</v>
      </c>
      <c r="H35" s="4" t="s">
        <v>9</v>
      </c>
      <c r="I35" s="4">
        <v>125</v>
      </c>
      <c r="J35" s="6">
        <v>1078</v>
      </c>
      <c r="K35" s="90">
        <v>45953</v>
      </c>
      <c r="L35" s="38">
        <v>45940</v>
      </c>
      <c r="M35" s="4">
        <v>25633</v>
      </c>
      <c r="N35" s="7">
        <v>50000</v>
      </c>
      <c r="O35" s="7">
        <f t="shared" ref="O35:O66" si="4">(N35-G35*1000)</f>
        <v>0</v>
      </c>
      <c r="P35" s="10">
        <f t="shared" si="1"/>
        <v>53900</v>
      </c>
      <c r="Q35" s="6">
        <f t="shared" si="3"/>
        <v>2695</v>
      </c>
      <c r="R35" s="1">
        <v>5</v>
      </c>
      <c r="S35" s="91"/>
      <c r="T35" s="79"/>
    </row>
    <row r="36" spans="1:20" x14ac:dyDescent="0.3">
      <c r="A36" s="89" t="s">
        <v>83</v>
      </c>
      <c r="B36" s="138" t="s">
        <v>17</v>
      </c>
      <c r="C36" s="134" t="s">
        <v>55</v>
      </c>
      <c r="D36" s="75">
        <v>74</v>
      </c>
      <c r="E36" s="1">
        <v>5416</v>
      </c>
      <c r="F36" s="11">
        <v>45838</v>
      </c>
      <c r="G36" s="54">
        <v>75</v>
      </c>
      <c r="H36" s="4" t="s">
        <v>9</v>
      </c>
      <c r="I36" s="4">
        <v>187.5</v>
      </c>
      <c r="J36" s="6">
        <v>1350</v>
      </c>
      <c r="K36" s="90">
        <v>45848</v>
      </c>
      <c r="L36" s="38">
        <v>45849</v>
      </c>
      <c r="M36" s="1">
        <v>25112</v>
      </c>
      <c r="N36" s="7">
        <v>76000</v>
      </c>
      <c r="O36" s="7">
        <f t="shared" si="4"/>
        <v>1000</v>
      </c>
      <c r="P36" s="6">
        <f t="shared" si="1"/>
        <v>102600</v>
      </c>
      <c r="Q36" s="6">
        <f t="shared" si="3"/>
        <v>5130</v>
      </c>
      <c r="R36" s="13">
        <v>5</v>
      </c>
      <c r="S36" s="1" t="s">
        <v>3</v>
      </c>
      <c r="T36" s="55"/>
    </row>
    <row r="37" spans="1:20" x14ac:dyDescent="0.3">
      <c r="A37" s="89" t="s">
        <v>83</v>
      </c>
      <c r="B37" s="135" t="s">
        <v>17</v>
      </c>
      <c r="C37" s="134" t="s">
        <v>51</v>
      </c>
      <c r="D37" s="75">
        <v>496</v>
      </c>
      <c r="E37" s="1" t="s">
        <v>10</v>
      </c>
      <c r="F37" s="11">
        <v>45618</v>
      </c>
      <c r="G37" s="17">
        <v>17.600000000000001</v>
      </c>
      <c r="H37" s="4" t="s">
        <v>9</v>
      </c>
      <c r="I37" s="4">
        <v>44</v>
      </c>
      <c r="J37" s="6">
        <v>1328</v>
      </c>
      <c r="K37" s="90">
        <v>45625</v>
      </c>
      <c r="L37" s="38">
        <v>45660</v>
      </c>
      <c r="M37" s="1">
        <v>24004</v>
      </c>
      <c r="N37" s="7">
        <v>17600</v>
      </c>
      <c r="O37" s="7">
        <f t="shared" si="4"/>
        <v>0</v>
      </c>
      <c r="P37" s="6">
        <f>(J37*G37)</f>
        <v>23372.800000000003</v>
      </c>
      <c r="Q37" s="6">
        <f t="shared" si="3"/>
        <v>1168.6400000000001</v>
      </c>
      <c r="R37" s="18">
        <v>5</v>
      </c>
      <c r="S37" s="91" t="s">
        <v>3</v>
      </c>
      <c r="T37" s="8"/>
    </row>
    <row r="38" spans="1:20" x14ac:dyDescent="0.3">
      <c r="A38" s="89" t="s">
        <v>83</v>
      </c>
      <c r="B38" s="135" t="s">
        <v>17</v>
      </c>
      <c r="C38" s="135" t="s">
        <v>45</v>
      </c>
      <c r="D38" s="5">
        <v>498</v>
      </c>
      <c r="E38" s="1" t="s">
        <v>10</v>
      </c>
      <c r="F38" s="11">
        <v>45637</v>
      </c>
      <c r="G38" s="3">
        <v>105</v>
      </c>
      <c r="H38" s="4" t="s">
        <v>9</v>
      </c>
      <c r="I38" s="4">
        <v>210</v>
      </c>
      <c r="J38" s="16">
        <v>544</v>
      </c>
      <c r="K38" s="90">
        <v>45644</v>
      </c>
      <c r="L38" s="38">
        <v>45660</v>
      </c>
      <c r="M38" s="1">
        <v>24004</v>
      </c>
      <c r="N38" s="13">
        <v>105000</v>
      </c>
      <c r="O38" s="7">
        <f t="shared" si="4"/>
        <v>0</v>
      </c>
      <c r="P38" s="10">
        <f t="shared" ref="P38:P81" si="5">(N38*J38/1000)</f>
        <v>57120</v>
      </c>
      <c r="Q38" s="10">
        <f t="shared" si="3"/>
        <v>2856</v>
      </c>
      <c r="R38" s="13">
        <v>5</v>
      </c>
      <c r="S38" s="91" t="s">
        <v>3</v>
      </c>
      <c r="T38" s="8"/>
    </row>
    <row r="39" spans="1:20" x14ac:dyDescent="0.3">
      <c r="A39" s="89" t="s">
        <v>83</v>
      </c>
      <c r="B39" s="138" t="s">
        <v>17</v>
      </c>
      <c r="C39" s="138" t="s">
        <v>47</v>
      </c>
      <c r="D39" s="30">
        <v>503</v>
      </c>
      <c r="E39" s="19" t="s">
        <v>10</v>
      </c>
      <c r="F39" s="32">
        <v>45672</v>
      </c>
      <c r="G39" s="22">
        <v>16</v>
      </c>
      <c r="H39" s="23" t="s">
        <v>9</v>
      </c>
      <c r="I39" s="23">
        <v>32</v>
      </c>
      <c r="J39" s="24">
        <v>615</v>
      </c>
      <c r="K39" s="92">
        <v>45681</v>
      </c>
      <c r="L39" s="93">
        <v>45681</v>
      </c>
      <c r="M39" s="19">
        <v>24166</v>
      </c>
      <c r="N39" s="21">
        <v>16000</v>
      </c>
      <c r="O39" s="20">
        <f t="shared" si="4"/>
        <v>0</v>
      </c>
      <c r="P39" s="25">
        <f t="shared" si="5"/>
        <v>9840</v>
      </c>
      <c r="Q39" s="25">
        <f t="shared" si="3"/>
        <v>492</v>
      </c>
      <c r="R39" s="21">
        <v>5</v>
      </c>
      <c r="S39" s="91" t="s">
        <v>3</v>
      </c>
      <c r="T39" s="8"/>
    </row>
    <row r="40" spans="1:20" x14ac:dyDescent="0.3">
      <c r="A40" s="89" t="s">
        <v>83</v>
      </c>
      <c r="B40" s="135" t="s">
        <v>17</v>
      </c>
      <c r="C40" s="135" t="s">
        <v>45</v>
      </c>
      <c r="D40" s="5">
        <v>504</v>
      </c>
      <c r="E40" s="1" t="s">
        <v>10</v>
      </c>
      <c r="F40" s="11">
        <v>45672</v>
      </c>
      <c r="G40" s="3">
        <v>49</v>
      </c>
      <c r="H40" s="4" t="s">
        <v>9</v>
      </c>
      <c r="I40" s="4">
        <f>(G40*1000/500)</f>
        <v>98</v>
      </c>
      <c r="J40" s="16">
        <v>544</v>
      </c>
      <c r="K40" s="90">
        <v>45681</v>
      </c>
      <c r="L40" s="38">
        <v>45696</v>
      </c>
      <c r="M40" s="1">
        <v>24299</v>
      </c>
      <c r="N40" s="13">
        <v>50000</v>
      </c>
      <c r="O40" s="7">
        <f t="shared" si="4"/>
        <v>1000</v>
      </c>
      <c r="P40" s="10">
        <f t="shared" si="5"/>
        <v>27200</v>
      </c>
      <c r="Q40" s="10">
        <f t="shared" si="3"/>
        <v>1360</v>
      </c>
      <c r="R40" s="13">
        <v>5</v>
      </c>
      <c r="S40" s="18" t="s">
        <v>3</v>
      </c>
      <c r="T40" s="8"/>
    </row>
    <row r="41" spans="1:20" x14ac:dyDescent="0.3">
      <c r="A41" s="89" t="s">
        <v>83</v>
      </c>
      <c r="B41" s="138" t="s">
        <v>17</v>
      </c>
      <c r="C41" s="138" t="s">
        <v>45</v>
      </c>
      <c r="D41" s="30">
        <v>504</v>
      </c>
      <c r="E41" s="19" t="s">
        <v>10</v>
      </c>
      <c r="F41" s="32">
        <v>45672</v>
      </c>
      <c r="G41" s="22">
        <v>270</v>
      </c>
      <c r="H41" s="23" t="s">
        <v>9</v>
      </c>
      <c r="I41" s="23">
        <f>(G41*1000/500)</f>
        <v>540</v>
      </c>
      <c r="J41" s="24">
        <v>544</v>
      </c>
      <c r="K41" s="92">
        <v>45681</v>
      </c>
      <c r="L41" s="93">
        <v>45681</v>
      </c>
      <c r="M41" s="19">
        <v>24166</v>
      </c>
      <c r="N41" s="21">
        <v>221000</v>
      </c>
      <c r="O41" s="20">
        <f t="shared" si="4"/>
        <v>-49000</v>
      </c>
      <c r="P41" s="25">
        <f t="shared" si="5"/>
        <v>120224</v>
      </c>
      <c r="Q41" s="25">
        <f t="shared" si="3"/>
        <v>6011.2000000000007</v>
      </c>
      <c r="R41" s="21">
        <v>5</v>
      </c>
      <c r="S41" s="91" t="s">
        <v>3</v>
      </c>
      <c r="T41" s="8"/>
    </row>
    <row r="42" spans="1:20" x14ac:dyDescent="0.3">
      <c r="A42" s="89" t="s">
        <v>83</v>
      </c>
      <c r="B42" s="138" t="s">
        <v>17</v>
      </c>
      <c r="C42" s="138" t="s">
        <v>46</v>
      </c>
      <c r="D42" s="206">
        <v>505</v>
      </c>
      <c r="E42" s="19" t="s">
        <v>10</v>
      </c>
      <c r="F42" s="32">
        <v>45672</v>
      </c>
      <c r="G42" s="26">
        <v>4</v>
      </c>
      <c r="H42" s="23" t="s">
        <v>9</v>
      </c>
      <c r="I42" s="23">
        <v>8</v>
      </c>
      <c r="J42" s="27">
        <v>655</v>
      </c>
      <c r="K42" s="92">
        <v>45681</v>
      </c>
      <c r="L42" s="93">
        <v>45681</v>
      </c>
      <c r="M42" s="19">
        <v>24166</v>
      </c>
      <c r="N42" s="20">
        <v>4000</v>
      </c>
      <c r="O42" s="20">
        <f t="shared" si="4"/>
        <v>0</v>
      </c>
      <c r="P42" s="28">
        <f t="shared" si="5"/>
        <v>2620</v>
      </c>
      <c r="Q42" s="28">
        <f t="shared" si="3"/>
        <v>131</v>
      </c>
      <c r="R42" s="21">
        <v>5</v>
      </c>
      <c r="S42" s="91" t="s">
        <v>3</v>
      </c>
      <c r="T42" s="8"/>
    </row>
    <row r="43" spans="1:20" x14ac:dyDescent="0.3">
      <c r="A43" s="89" t="s">
        <v>83</v>
      </c>
      <c r="B43" s="138" t="s">
        <v>17</v>
      </c>
      <c r="C43" s="140" t="s">
        <v>50</v>
      </c>
      <c r="D43" s="206">
        <v>506</v>
      </c>
      <c r="E43" s="19" t="s">
        <v>10</v>
      </c>
      <c r="F43" s="32">
        <v>45672</v>
      </c>
      <c r="G43" s="26">
        <v>32</v>
      </c>
      <c r="H43" s="23" t="s">
        <v>9</v>
      </c>
      <c r="I43" s="23">
        <v>80</v>
      </c>
      <c r="J43" s="28">
        <v>1328</v>
      </c>
      <c r="K43" s="92">
        <v>45681</v>
      </c>
      <c r="L43" s="93">
        <v>45681</v>
      </c>
      <c r="M43" s="19">
        <v>24166</v>
      </c>
      <c r="N43" s="20">
        <v>32000</v>
      </c>
      <c r="O43" s="20">
        <f t="shared" si="4"/>
        <v>0</v>
      </c>
      <c r="P43" s="28">
        <f t="shared" si="5"/>
        <v>42496</v>
      </c>
      <c r="Q43" s="28">
        <f t="shared" si="3"/>
        <v>2124.8000000000002</v>
      </c>
      <c r="R43" s="29">
        <v>5</v>
      </c>
      <c r="S43" s="91" t="s">
        <v>3</v>
      </c>
      <c r="T43" s="8"/>
    </row>
    <row r="44" spans="1:20" x14ac:dyDescent="0.3">
      <c r="A44" s="89" t="s">
        <v>83</v>
      </c>
      <c r="B44" s="138" t="s">
        <v>17</v>
      </c>
      <c r="C44" s="138" t="s">
        <v>48</v>
      </c>
      <c r="D44" s="30">
        <v>507</v>
      </c>
      <c r="E44" s="19" t="s">
        <v>10</v>
      </c>
      <c r="F44" s="32">
        <v>45672</v>
      </c>
      <c r="G44" s="22">
        <v>45</v>
      </c>
      <c r="H44" s="23" t="s">
        <v>9</v>
      </c>
      <c r="I44" s="30">
        <f>(G44*1000/500)</f>
        <v>90</v>
      </c>
      <c r="J44" s="24">
        <v>427</v>
      </c>
      <c r="K44" s="92">
        <v>45681</v>
      </c>
      <c r="L44" s="93">
        <v>45681</v>
      </c>
      <c r="M44" s="19">
        <v>24166</v>
      </c>
      <c r="N44" s="21">
        <v>45000</v>
      </c>
      <c r="O44" s="20">
        <f t="shared" si="4"/>
        <v>0</v>
      </c>
      <c r="P44" s="25">
        <f t="shared" si="5"/>
        <v>19215</v>
      </c>
      <c r="Q44" s="25">
        <f t="shared" si="3"/>
        <v>960.75</v>
      </c>
      <c r="R44" s="21">
        <v>5</v>
      </c>
      <c r="S44" s="91" t="s">
        <v>3</v>
      </c>
      <c r="T44" s="8"/>
    </row>
    <row r="45" spans="1:20" x14ac:dyDescent="0.3">
      <c r="A45" s="89" t="s">
        <v>83</v>
      </c>
      <c r="B45" s="138" t="s">
        <v>17</v>
      </c>
      <c r="C45" s="136" t="s">
        <v>49</v>
      </c>
      <c r="D45" s="206">
        <v>508</v>
      </c>
      <c r="E45" s="19" t="s">
        <v>10</v>
      </c>
      <c r="F45" s="32">
        <v>45672</v>
      </c>
      <c r="G45" s="26">
        <v>2</v>
      </c>
      <c r="H45" s="23" t="s">
        <v>9</v>
      </c>
      <c r="I45" s="23">
        <v>5</v>
      </c>
      <c r="J45" s="28">
        <v>1328</v>
      </c>
      <c r="K45" s="92">
        <v>45681</v>
      </c>
      <c r="L45" s="93">
        <v>45681</v>
      </c>
      <c r="M45" s="19">
        <v>24166</v>
      </c>
      <c r="N45" s="20">
        <v>2000</v>
      </c>
      <c r="O45" s="20">
        <f t="shared" si="4"/>
        <v>0</v>
      </c>
      <c r="P45" s="28">
        <f t="shared" si="5"/>
        <v>2656</v>
      </c>
      <c r="Q45" s="28">
        <f t="shared" si="3"/>
        <v>132.80000000000001</v>
      </c>
      <c r="R45" s="29">
        <v>5</v>
      </c>
      <c r="S45" s="91" t="s">
        <v>3</v>
      </c>
      <c r="T45" s="8"/>
    </row>
    <row r="46" spans="1:20" x14ac:dyDescent="0.3">
      <c r="A46" s="89" t="s">
        <v>83</v>
      </c>
      <c r="B46" s="135" t="s">
        <v>17</v>
      </c>
      <c r="C46" s="135" t="s">
        <v>47</v>
      </c>
      <c r="D46" s="5">
        <v>509</v>
      </c>
      <c r="E46" s="1" t="s">
        <v>10</v>
      </c>
      <c r="F46" s="11">
        <v>45694</v>
      </c>
      <c r="G46" s="3">
        <v>12.5</v>
      </c>
      <c r="H46" s="4" t="s">
        <v>9</v>
      </c>
      <c r="I46" s="4">
        <v>25</v>
      </c>
      <c r="J46" s="16">
        <v>615</v>
      </c>
      <c r="K46" s="90">
        <v>45699</v>
      </c>
      <c r="L46" s="38">
        <v>45710</v>
      </c>
      <c r="M46" s="1">
        <v>24391</v>
      </c>
      <c r="N46" s="13">
        <v>12500</v>
      </c>
      <c r="O46" s="7">
        <f t="shared" si="4"/>
        <v>0</v>
      </c>
      <c r="P46" s="10">
        <f t="shared" si="5"/>
        <v>7687.5</v>
      </c>
      <c r="Q46" s="10">
        <f t="shared" si="3"/>
        <v>384.375</v>
      </c>
      <c r="R46" s="13">
        <v>5</v>
      </c>
      <c r="S46" s="94" t="s">
        <v>3</v>
      </c>
      <c r="T46" s="8"/>
    </row>
    <row r="47" spans="1:20" x14ac:dyDescent="0.3">
      <c r="A47" s="89" t="s">
        <v>83</v>
      </c>
      <c r="B47" s="135" t="s">
        <v>17</v>
      </c>
      <c r="C47" s="135" t="s">
        <v>45</v>
      </c>
      <c r="D47" s="5">
        <v>510</v>
      </c>
      <c r="E47" s="1" t="s">
        <v>10</v>
      </c>
      <c r="F47" s="11">
        <v>45694</v>
      </c>
      <c r="G47" s="3">
        <v>150</v>
      </c>
      <c r="H47" s="4" t="s">
        <v>9</v>
      </c>
      <c r="I47" s="4">
        <v>300</v>
      </c>
      <c r="J47" s="16">
        <v>544</v>
      </c>
      <c r="K47" s="90">
        <v>45699</v>
      </c>
      <c r="L47" s="38">
        <v>45710</v>
      </c>
      <c r="M47" s="1">
        <v>24391</v>
      </c>
      <c r="N47" s="13">
        <v>150000</v>
      </c>
      <c r="O47" s="7">
        <f t="shared" si="4"/>
        <v>0</v>
      </c>
      <c r="P47" s="10">
        <f t="shared" si="5"/>
        <v>81600</v>
      </c>
      <c r="Q47" s="10">
        <f t="shared" si="3"/>
        <v>4080</v>
      </c>
      <c r="R47" s="13">
        <v>5</v>
      </c>
      <c r="S47" s="91" t="s">
        <v>3</v>
      </c>
      <c r="T47" s="8"/>
    </row>
    <row r="48" spans="1:20" x14ac:dyDescent="0.3">
      <c r="A48" s="89" t="s">
        <v>83</v>
      </c>
      <c r="B48" s="135" t="s">
        <v>17</v>
      </c>
      <c r="C48" s="135" t="s">
        <v>46</v>
      </c>
      <c r="D48" s="75">
        <v>511</v>
      </c>
      <c r="E48" s="1" t="s">
        <v>10</v>
      </c>
      <c r="F48" s="11">
        <v>45694</v>
      </c>
      <c r="G48" s="17">
        <v>1</v>
      </c>
      <c r="H48" s="4" t="s">
        <v>9</v>
      </c>
      <c r="I48" s="4">
        <v>2</v>
      </c>
      <c r="J48" s="35">
        <v>655</v>
      </c>
      <c r="K48" s="90">
        <v>45699</v>
      </c>
      <c r="L48" s="38">
        <v>45710</v>
      </c>
      <c r="M48" s="1">
        <v>24391</v>
      </c>
      <c r="N48" s="7">
        <v>1000</v>
      </c>
      <c r="O48" s="7">
        <f t="shared" si="4"/>
        <v>0</v>
      </c>
      <c r="P48" s="6">
        <f t="shared" si="5"/>
        <v>655</v>
      </c>
      <c r="Q48" s="6">
        <f t="shared" si="3"/>
        <v>32.75</v>
      </c>
      <c r="R48" s="13">
        <v>5</v>
      </c>
      <c r="S48" s="91" t="s">
        <v>3</v>
      </c>
      <c r="T48" s="8"/>
    </row>
    <row r="49" spans="1:20" x14ac:dyDescent="0.3">
      <c r="A49" s="89" t="s">
        <v>83</v>
      </c>
      <c r="B49" s="135" t="s">
        <v>17</v>
      </c>
      <c r="C49" s="135" t="s">
        <v>48</v>
      </c>
      <c r="D49" s="5">
        <v>512</v>
      </c>
      <c r="E49" s="1" t="s">
        <v>10</v>
      </c>
      <c r="F49" s="11">
        <v>45694</v>
      </c>
      <c r="G49" s="3">
        <v>15</v>
      </c>
      <c r="H49" s="4" t="s">
        <v>9</v>
      </c>
      <c r="I49" s="5">
        <f>(G49*1000/500)</f>
        <v>30</v>
      </c>
      <c r="J49" s="16">
        <v>427</v>
      </c>
      <c r="K49" s="90">
        <v>45699</v>
      </c>
      <c r="L49" s="38">
        <v>45710</v>
      </c>
      <c r="M49" s="1">
        <v>24391</v>
      </c>
      <c r="N49" s="13">
        <v>15000</v>
      </c>
      <c r="O49" s="7">
        <f t="shared" si="4"/>
        <v>0</v>
      </c>
      <c r="P49" s="10">
        <f t="shared" si="5"/>
        <v>6405</v>
      </c>
      <c r="Q49" s="10">
        <f t="shared" si="3"/>
        <v>320.25</v>
      </c>
      <c r="R49" s="13">
        <v>5</v>
      </c>
      <c r="S49" s="19" t="s">
        <v>3</v>
      </c>
      <c r="T49" s="8"/>
    </row>
    <row r="50" spans="1:20" x14ac:dyDescent="0.3">
      <c r="A50" s="89" t="s">
        <v>83</v>
      </c>
      <c r="B50" s="135" t="s">
        <v>17</v>
      </c>
      <c r="C50" s="134" t="s">
        <v>49</v>
      </c>
      <c r="D50" s="75">
        <v>513</v>
      </c>
      <c r="E50" s="1" t="s">
        <v>10</v>
      </c>
      <c r="F50" s="11">
        <v>45694</v>
      </c>
      <c r="G50" s="17">
        <v>8</v>
      </c>
      <c r="H50" s="4" t="s">
        <v>9</v>
      </c>
      <c r="I50" s="4">
        <v>20</v>
      </c>
      <c r="J50" s="6">
        <v>1328</v>
      </c>
      <c r="K50" s="90">
        <v>45699</v>
      </c>
      <c r="L50" s="38">
        <v>45710</v>
      </c>
      <c r="M50" s="1">
        <v>24391</v>
      </c>
      <c r="N50" s="7">
        <v>8000</v>
      </c>
      <c r="O50" s="7">
        <f t="shared" si="4"/>
        <v>0</v>
      </c>
      <c r="P50" s="6">
        <f t="shared" si="5"/>
        <v>10624</v>
      </c>
      <c r="Q50" s="6">
        <f t="shared" si="3"/>
        <v>531.20000000000005</v>
      </c>
      <c r="R50" s="18">
        <v>5</v>
      </c>
      <c r="S50" s="91" t="s">
        <v>3</v>
      </c>
      <c r="T50" s="8"/>
    </row>
    <row r="51" spans="1:20" x14ac:dyDescent="0.3">
      <c r="A51" s="89" t="s">
        <v>83</v>
      </c>
      <c r="B51" s="138" t="s">
        <v>17</v>
      </c>
      <c r="C51" s="138" t="s">
        <v>47</v>
      </c>
      <c r="D51" s="30">
        <v>514</v>
      </c>
      <c r="E51" s="19" t="s">
        <v>10</v>
      </c>
      <c r="F51" s="32">
        <v>45709</v>
      </c>
      <c r="G51" s="22">
        <v>16</v>
      </c>
      <c r="H51" s="23" t="s">
        <v>9</v>
      </c>
      <c r="I51" s="23">
        <v>32</v>
      </c>
      <c r="J51" s="24">
        <v>615</v>
      </c>
      <c r="K51" s="92">
        <v>45716</v>
      </c>
      <c r="L51" s="93">
        <v>45725</v>
      </c>
      <c r="M51" s="19">
        <v>24494</v>
      </c>
      <c r="N51" s="21">
        <v>16000</v>
      </c>
      <c r="O51" s="20">
        <f t="shared" si="4"/>
        <v>0</v>
      </c>
      <c r="P51" s="25">
        <f t="shared" si="5"/>
        <v>9840</v>
      </c>
      <c r="Q51" s="25">
        <f t="shared" si="3"/>
        <v>492</v>
      </c>
      <c r="R51" s="21">
        <v>5</v>
      </c>
      <c r="S51" s="1" t="s">
        <v>3</v>
      </c>
      <c r="T51" s="8"/>
    </row>
    <row r="52" spans="1:20" x14ac:dyDescent="0.3">
      <c r="A52" s="89" t="s">
        <v>83</v>
      </c>
      <c r="B52" s="135" t="s">
        <v>17</v>
      </c>
      <c r="C52" s="135" t="s">
        <v>45</v>
      </c>
      <c r="D52" s="5">
        <v>515</v>
      </c>
      <c r="E52" s="1" t="s">
        <v>10</v>
      </c>
      <c r="F52" s="11">
        <v>45709</v>
      </c>
      <c r="G52" s="3">
        <v>87.5</v>
      </c>
      <c r="H52" s="4" t="s">
        <v>9</v>
      </c>
      <c r="I52" s="4">
        <v>175</v>
      </c>
      <c r="J52" s="16">
        <v>544</v>
      </c>
      <c r="K52" s="90">
        <v>45716</v>
      </c>
      <c r="L52" s="38">
        <v>45733</v>
      </c>
      <c r="M52" s="1">
        <v>24528</v>
      </c>
      <c r="N52" s="13">
        <v>82500</v>
      </c>
      <c r="O52" s="7">
        <f t="shared" si="4"/>
        <v>-5000</v>
      </c>
      <c r="P52" s="10">
        <f t="shared" si="5"/>
        <v>44880</v>
      </c>
      <c r="Q52" s="10">
        <f t="shared" si="3"/>
        <v>2244</v>
      </c>
      <c r="R52" s="13">
        <v>5</v>
      </c>
      <c r="S52" s="25" t="s">
        <v>3</v>
      </c>
      <c r="T52" s="8"/>
    </row>
    <row r="53" spans="1:20" x14ac:dyDescent="0.3">
      <c r="A53" s="89" t="s">
        <v>83</v>
      </c>
      <c r="B53" s="138" t="s">
        <v>17</v>
      </c>
      <c r="C53" s="138" t="s">
        <v>45</v>
      </c>
      <c r="D53" s="30">
        <v>515</v>
      </c>
      <c r="E53" s="19" t="s">
        <v>10</v>
      </c>
      <c r="F53" s="32">
        <v>45709</v>
      </c>
      <c r="G53" s="22">
        <v>260</v>
      </c>
      <c r="H53" s="23" t="s">
        <v>9</v>
      </c>
      <c r="I53" s="23">
        <v>520</v>
      </c>
      <c r="J53" s="24">
        <v>544</v>
      </c>
      <c r="K53" s="92">
        <v>45716</v>
      </c>
      <c r="L53" s="93">
        <v>45725</v>
      </c>
      <c r="M53" s="19">
        <v>24494</v>
      </c>
      <c r="N53" s="21">
        <v>172500</v>
      </c>
      <c r="O53" s="20">
        <f t="shared" si="4"/>
        <v>-87500</v>
      </c>
      <c r="P53" s="25">
        <f t="shared" si="5"/>
        <v>93840</v>
      </c>
      <c r="Q53" s="25">
        <f t="shared" si="3"/>
        <v>4692</v>
      </c>
      <c r="R53" s="21">
        <v>5</v>
      </c>
      <c r="S53" s="1" t="s">
        <v>3</v>
      </c>
      <c r="T53" s="8"/>
    </row>
    <row r="54" spans="1:20" x14ac:dyDescent="0.3">
      <c r="A54" s="89" t="s">
        <v>83</v>
      </c>
      <c r="B54" s="138" t="s">
        <v>17</v>
      </c>
      <c r="C54" s="138" t="s">
        <v>46</v>
      </c>
      <c r="D54" s="206">
        <v>516</v>
      </c>
      <c r="E54" s="19" t="s">
        <v>10</v>
      </c>
      <c r="F54" s="32">
        <v>45709</v>
      </c>
      <c r="G54" s="26">
        <v>4</v>
      </c>
      <c r="H54" s="23" t="s">
        <v>9</v>
      </c>
      <c r="I54" s="23">
        <v>8</v>
      </c>
      <c r="J54" s="27">
        <v>655</v>
      </c>
      <c r="K54" s="92">
        <v>45716</v>
      </c>
      <c r="L54" s="93">
        <v>45725</v>
      </c>
      <c r="M54" s="19">
        <v>24494</v>
      </c>
      <c r="N54" s="20">
        <v>4000</v>
      </c>
      <c r="O54" s="20">
        <f t="shared" si="4"/>
        <v>0</v>
      </c>
      <c r="P54" s="28">
        <f t="shared" si="5"/>
        <v>2620</v>
      </c>
      <c r="Q54" s="28">
        <f t="shared" si="3"/>
        <v>131</v>
      </c>
      <c r="R54" s="21">
        <v>5</v>
      </c>
      <c r="S54" s="1" t="s">
        <v>3</v>
      </c>
      <c r="T54" s="8"/>
    </row>
    <row r="55" spans="1:20" x14ac:dyDescent="0.3">
      <c r="A55" s="89" t="s">
        <v>83</v>
      </c>
      <c r="B55" s="138" t="s">
        <v>17</v>
      </c>
      <c r="C55" s="140" t="s">
        <v>50</v>
      </c>
      <c r="D55" s="206">
        <v>517</v>
      </c>
      <c r="E55" s="19" t="s">
        <v>10</v>
      </c>
      <c r="F55" s="32">
        <v>45709</v>
      </c>
      <c r="G55" s="26">
        <v>40</v>
      </c>
      <c r="H55" s="23" t="s">
        <v>9</v>
      </c>
      <c r="I55" s="23">
        <v>100</v>
      </c>
      <c r="J55" s="28">
        <v>1328</v>
      </c>
      <c r="K55" s="92">
        <v>45716</v>
      </c>
      <c r="L55" s="93">
        <v>45725</v>
      </c>
      <c r="M55" s="19">
        <v>24494</v>
      </c>
      <c r="N55" s="20">
        <v>40000</v>
      </c>
      <c r="O55" s="20">
        <f t="shared" si="4"/>
        <v>0</v>
      </c>
      <c r="P55" s="28">
        <f t="shared" si="5"/>
        <v>53120</v>
      </c>
      <c r="Q55" s="28">
        <f t="shared" si="3"/>
        <v>2656</v>
      </c>
      <c r="R55" s="29">
        <v>5</v>
      </c>
      <c r="S55" s="1" t="s">
        <v>3</v>
      </c>
      <c r="T55" s="8"/>
    </row>
    <row r="56" spans="1:20" x14ac:dyDescent="0.3">
      <c r="A56" s="89" t="s">
        <v>83</v>
      </c>
      <c r="B56" s="138" t="s">
        <v>17</v>
      </c>
      <c r="C56" s="138" t="s">
        <v>48</v>
      </c>
      <c r="D56" s="30">
        <v>518</v>
      </c>
      <c r="E56" s="19" t="s">
        <v>10</v>
      </c>
      <c r="F56" s="32">
        <v>45709</v>
      </c>
      <c r="G56" s="22">
        <v>24</v>
      </c>
      <c r="H56" s="23" t="s">
        <v>9</v>
      </c>
      <c r="I56" s="30">
        <f>(G56*1000/500)</f>
        <v>48</v>
      </c>
      <c r="J56" s="24">
        <v>427</v>
      </c>
      <c r="K56" s="92">
        <v>45716</v>
      </c>
      <c r="L56" s="93">
        <v>45725</v>
      </c>
      <c r="M56" s="19">
        <v>24494</v>
      </c>
      <c r="N56" s="21">
        <v>24000</v>
      </c>
      <c r="O56" s="20">
        <f t="shared" si="4"/>
        <v>0</v>
      </c>
      <c r="P56" s="25">
        <f t="shared" si="5"/>
        <v>10248</v>
      </c>
      <c r="Q56" s="25">
        <f t="shared" si="3"/>
        <v>512.4</v>
      </c>
      <c r="R56" s="21">
        <v>5</v>
      </c>
      <c r="S56" s="1" t="s">
        <v>3</v>
      </c>
      <c r="T56" s="8"/>
    </row>
    <row r="57" spans="1:20" x14ac:dyDescent="0.3">
      <c r="A57" s="89" t="s">
        <v>83</v>
      </c>
      <c r="B57" s="135" t="s">
        <v>17</v>
      </c>
      <c r="C57" s="134" t="s">
        <v>49</v>
      </c>
      <c r="D57" s="75">
        <v>519</v>
      </c>
      <c r="E57" s="1" t="s">
        <v>10</v>
      </c>
      <c r="F57" s="11">
        <v>45709</v>
      </c>
      <c r="G57" s="17">
        <v>6.8</v>
      </c>
      <c r="H57" s="4" t="s">
        <v>9</v>
      </c>
      <c r="I57" s="4">
        <v>3</v>
      </c>
      <c r="J57" s="6">
        <v>1328</v>
      </c>
      <c r="K57" s="90">
        <v>45716</v>
      </c>
      <c r="L57" s="38">
        <v>45733</v>
      </c>
      <c r="M57" s="1">
        <v>24528</v>
      </c>
      <c r="N57" s="7">
        <v>6800</v>
      </c>
      <c r="O57" s="7">
        <f t="shared" si="4"/>
        <v>0</v>
      </c>
      <c r="P57" s="6">
        <f t="shared" si="5"/>
        <v>9030.4</v>
      </c>
      <c r="Q57" s="6">
        <f t="shared" si="3"/>
        <v>451.52</v>
      </c>
      <c r="R57" s="18">
        <v>5</v>
      </c>
      <c r="S57" s="25" t="s">
        <v>3</v>
      </c>
      <c r="T57" s="8"/>
    </row>
    <row r="58" spans="1:20" x14ac:dyDescent="0.3">
      <c r="A58" s="89" t="s">
        <v>83</v>
      </c>
      <c r="B58" s="138" t="s">
        <v>17</v>
      </c>
      <c r="C58" s="136" t="s">
        <v>49</v>
      </c>
      <c r="D58" s="206">
        <v>519</v>
      </c>
      <c r="E58" s="19" t="s">
        <v>10</v>
      </c>
      <c r="F58" s="32">
        <v>45709</v>
      </c>
      <c r="G58" s="26">
        <v>10</v>
      </c>
      <c r="H58" s="23" t="s">
        <v>9</v>
      </c>
      <c r="I58" s="23">
        <v>25</v>
      </c>
      <c r="J58" s="28">
        <v>1328</v>
      </c>
      <c r="K58" s="92">
        <v>45716</v>
      </c>
      <c r="L58" s="93">
        <v>45725</v>
      </c>
      <c r="M58" s="19">
        <v>24494</v>
      </c>
      <c r="N58" s="20">
        <v>3200</v>
      </c>
      <c r="O58" s="20">
        <f t="shared" si="4"/>
        <v>-6800</v>
      </c>
      <c r="P58" s="28">
        <f t="shared" si="5"/>
        <v>4249.6000000000004</v>
      </c>
      <c r="Q58" s="28">
        <f t="shared" si="3"/>
        <v>212.48000000000002</v>
      </c>
      <c r="R58" s="29">
        <v>5</v>
      </c>
      <c r="S58" s="1" t="s">
        <v>3</v>
      </c>
      <c r="T58" s="8"/>
    </row>
    <row r="59" spans="1:20" x14ac:dyDescent="0.3">
      <c r="A59" s="89" t="s">
        <v>83</v>
      </c>
      <c r="B59" s="135" t="s">
        <v>17</v>
      </c>
      <c r="C59" s="135" t="s">
        <v>47</v>
      </c>
      <c r="D59" s="5">
        <v>520</v>
      </c>
      <c r="E59" s="1" t="s">
        <v>10</v>
      </c>
      <c r="F59" s="11">
        <v>45738</v>
      </c>
      <c r="G59" s="15">
        <v>3</v>
      </c>
      <c r="H59" s="4" t="s">
        <v>9</v>
      </c>
      <c r="I59" s="4">
        <v>6</v>
      </c>
      <c r="J59" s="16">
        <v>615</v>
      </c>
      <c r="K59" s="90">
        <v>45747</v>
      </c>
      <c r="L59" s="38">
        <v>45762</v>
      </c>
      <c r="M59" s="1">
        <v>24716</v>
      </c>
      <c r="N59" s="13">
        <v>3000</v>
      </c>
      <c r="O59" s="7">
        <f t="shared" si="4"/>
        <v>0</v>
      </c>
      <c r="P59" s="10">
        <f t="shared" si="5"/>
        <v>1845</v>
      </c>
      <c r="Q59" s="10">
        <f t="shared" si="3"/>
        <v>92.25</v>
      </c>
      <c r="R59" s="13">
        <v>5</v>
      </c>
      <c r="S59" s="19" t="s">
        <v>3</v>
      </c>
      <c r="T59" s="8"/>
    </row>
    <row r="60" spans="1:20" x14ac:dyDescent="0.3">
      <c r="A60" s="89" t="s">
        <v>83</v>
      </c>
      <c r="B60" s="138" t="s">
        <v>17</v>
      </c>
      <c r="C60" s="138" t="s">
        <v>47</v>
      </c>
      <c r="D60" s="30">
        <v>520</v>
      </c>
      <c r="E60" s="19" t="s">
        <v>10</v>
      </c>
      <c r="F60" s="32">
        <v>45738</v>
      </c>
      <c r="G60" s="52">
        <v>20</v>
      </c>
      <c r="H60" s="23" t="s">
        <v>9</v>
      </c>
      <c r="I60" s="23">
        <v>40</v>
      </c>
      <c r="J60" s="24">
        <v>615</v>
      </c>
      <c r="K60" s="92">
        <v>45747</v>
      </c>
      <c r="L60" s="93">
        <v>45756</v>
      </c>
      <c r="M60" s="19">
        <v>24688</v>
      </c>
      <c r="N60" s="21">
        <v>17000</v>
      </c>
      <c r="O60" s="20">
        <f t="shared" si="4"/>
        <v>-3000</v>
      </c>
      <c r="P60" s="25">
        <f t="shared" si="5"/>
        <v>10455</v>
      </c>
      <c r="Q60" s="25">
        <f t="shared" ref="Q60:Q91" si="6">(P60*0.05)</f>
        <v>522.75</v>
      </c>
      <c r="R60" s="21">
        <v>5</v>
      </c>
      <c r="S60" s="19" t="s">
        <v>3</v>
      </c>
      <c r="T60" s="8"/>
    </row>
    <row r="61" spans="1:20" x14ac:dyDescent="0.3">
      <c r="A61" s="89" t="s">
        <v>83</v>
      </c>
      <c r="B61" s="135" t="s">
        <v>17</v>
      </c>
      <c r="C61" s="135" t="s">
        <v>45</v>
      </c>
      <c r="D61" s="5">
        <v>521</v>
      </c>
      <c r="E61" s="1" t="s">
        <v>10</v>
      </c>
      <c r="F61" s="11">
        <v>45738</v>
      </c>
      <c r="G61" s="15">
        <v>150</v>
      </c>
      <c r="H61" s="4" t="s">
        <v>9</v>
      </c>
      <c r="I61" s="4">
        <v>300</v>
      </c>
      <c r="J61" s="16">
        <v>544</v>
      </c>
      <c r="K61" s="90">
        <v>45747</v>
      </c>
      <c r="L61" s="38">
        <v>45762</v>
      </c>
      <c r="M61" s="1">
        <v>24716</v>
      </c>
      <c r="N61" s="13">
        <v>150000</v>
      </c>
      <c r="O61" s="7">
        <f t="shared" si="4"/>
        <v>0</v>
      </c>
      <c r="P61" s="10">
        <f t="shared" si="5"/>
        <v>81600</v>
      </c>
      <c r="Q61" s="10">
        <f t="shared" si="6"/>
        <v>4080</v>
      </c>
      <c r="R61" s="13">
        <v>5</v>
      </c>
      <c r="S61" s="1" t="s">
        <v>3</v>
      </c>
      <c r="T61" s="8"/>
    </row>
    <row r="62" spans="1:20" x14ac:dyDescent="0.3">
      <c r="A62" s="89" t="s">
        <v>83</v>
      </c>
      <c r="B62" s="138" t="s">
        <v>17</v>
      </c>
      <c r="C62" s="138" t="s">
        <v>45</v>
      </c>
      <c r="D62" s="30">
        <v>521</v>
      </c>
      <c r="E62" s="19" t="s">
        <v>10</v>
      </c>
      <c r="F62" s="32">
        <v>45738</v>
      </c>
      <c r="G62" s="52">
        <v>270</v>
      </c>
      <c r="H62" s="23" t="s">
        <v>9</v>
      </c>
      <c r="I62" s="23">
        <v>540</v>
      </c>
      <c r="J62" s="24">
        <v>544</v>
      </c>
      <c r="K62" s="92">
        <v>45747</v>
      </c>
      <c r="L62" s="93">
        <v>45756</v>
      </c>
      <c r="M62" s="19">
        <v>24688</v>
      </c>
      <c r="N62" s="21">
        <v>120000</v>
      </c>
      <c r="O62" s="20">
        <f t="shared" si="4"/>
        <v>-150000</v>
      </c>
      <c r="P62" s="25">
        <f t="shared" si="5"/>
        <v>65280</v>
      </c>
      <c r="Q62" s="25">
        <f t="shared" si="6"/>
        <v>3264</v>
      </c>
      <c r="R62" s="21">
        <v>5</v>
      </c>
      <c r="S62" s="19" t="s">
        <v>3</v>
      </c>
      <c r="T62" s="8"/>
    </row>
    <row r="63" spans="1:20" x14ac:dyDescent="0.3">
      <c r="A63" s="89" t="s">
        <v>83</v>
      </c>
      <c r="B63" s="138" t="s">
        <v>17</v>
      </c>
      <c r="C63" s="138" t="s">
        <v>46</v>
      </c>
      <c r="D63" s="206">
        <v>522</v>
      </c>
      <c r="E63" s="19" t="s">
        <v>10</v>
      </c>
      <c r="F63" s="32">
        <v>45738</v>
      </c>
      <c r="G63" s="53">
        <v>3</v>
      </c>
      <c r="H63" s="23" t="s">
        <v>9</v>
      </c>
      <c r="I63" s="23">
        <v>6</v>
      </c>
      <c r="J63" s="27">
        <v>655</v>
      </c>
      <c r="K63" s="92">
        <v>45747</v>
      </c>
      <c r="L63" s="93">
        <v>45747</v>
      </c>
      <c r="M63" s="19"/>
      <c r="N63" s="20">
        <v>3000</v>
      </c>
      <c r="O63" s="20">
        <f t="shared" si="4"/>
        <v>0</v>
      </c>
      <c r="P63" s="28">
        <f t="shared" si="5"/>
        <v>1965</v>
      </c>
      <c r="Q63" s="28">
        <f t="shared" si="6"/>
        <v>98.25</v>
      </c>
      <c r="R63" s="21">
        <v>5</v>
      </c>
      <c r="S63" s="1"/>
      <c r="T63" s="8"/>
    </row>
    <row r="64" spans="1:20" x14ac:dyDescent="0.3">
      <c r="A64" s="89" t="s">
        <v>83</v>
      </c>
      <c r="B64" s="138" t="s">
        <v>17</v>
      </c>
      <c r="C64" s="136" t="s">
        <v>50</v>
      </c>
      <c r="D64" s="206">
        <v>523</v>
      </c>
      <c r="E64" s="19" t="s">
        <v>10</v>
      </c>
      <c r="F64" s="32">
        <v>45738</v>
      </c>
      <c r="G64" s="53">
        <v>25</v>
      </c>
      <c r="H64" s="23" t="s">
        <v>9</v>
      </c>
      <c r="I64" s="23">
        <v>62.5</v>
      </c>
      <c r="J64" s="28">
        <v>1328</v>
      </c>
      <c r="K64" s="92">
        <v>45747</v>
      </c>
      <c r="L64" s="93">
        <v>45756</v>
      </c>
      <c r="M64" s="19">
        <v>24688</v>
      </c>
      <c r="N64" s="20">
        <v>25000</v>
      </c>
      <c r="O64" s="20">
        <f t="shared" si="4"/>
        <v>0</v>
      </c>
      <c r="P64" s="28">
        <f t="shared" si="5"/>
        <v>33200</v>
      </c>
      <c r="Q64" s="28">
        <f t="shared" si="6"/>
        <v>1660</v>
      </c>
      <c r="R64" s="29">
        <v>5</v>
      </c>
      <c r="S64" s="1" t="s">
        <v>3</v>
      </c>
      <c r="T64" s="8"/>
    </row>
    <row r="65" spans="1:20" x14ac:dyDescent="0.3">
      <c r="A65" s="89" t="s">
        <v>83</v>
      </c>
      <c r="B65" s="138" t="s">
        <v>17</v>
      </c>
      <c r="C65" s="138" t="s">
        <v>48</v>
      </c>
      <c r="D65" s="30">
        <v>524</v>
      </c>
      <c r="E65" s="19" t="s">
        <v>10</v>
      </c>
      <c r="F65" s="32">
        <v>45738</v>
      </c>
      <c r="G65" s="52">
        <v>25</v>
      </c>
      <c r="H65" s="23" t="s">
        <v>9</v>
      </c>
      <c r="I65" s="30">
        <f>(G65*1000/500)</f>
        <v>50</v>
      </c>
      <c r="J65" s="24">
        <v>427</v>
      </c>
      <c r="K65" s="92">
        <v>45747</v>
      </c>
      <c r="L65" s="93">
        <v>45756</v>
      </c>
      <c r="M65" s="19">
        <v>24688</v>
      </c>
      <c r="N65" s="21">
        <v>25000</v>
      </c>
      <c r="O65" s="20">
        <f t="shared" si="4"/>
        <v>0</v>
      </c>
      <c r="P65" s="25">
        <f t="shared" si="5"/>
        <v>10675</v>
      </c>
      <c r="Q65" s="25">
        <f t="shared" si="6"/>
        <v>533.75</v>
      </c>
      <c r="R65" s="21">
        <v>5</v>
      </c>
      <c r="S65" s="94" t="s">
        <v>3</v>
      </c>
      <c r="T65" s="8"/>
    </row>
    <row r="66" spans="1:20" x14ac:dyDescent="0.3">
      <c r="A66" s="89" t="s">
        <v>83</v>
      </c>
      <c r="B66" s="138" t="s">
        <v>17</v>
      </c>
      <c r="C66" s="136" t="s">
        <v>49</v>
      </c>
      <c r="D66" s="206">
        <v>525</v>
      </c>
      <c r="E66" s="19" t="s">
        <v>10</v>
      </c>
      <c r="F66" s="32">
        <v>45738</v>
      </c>
      <c r="G66" s="53">
        <v>10</v>
      </c>
      <c r="H66" s="23" t="s">
        <v>9</v>
      </c>
      <c r="I66" s="23">
        <v>25</v>
      </c>
      <c r="J66" s="28">
        <v>1328</v>
      </c>
      <c r="K66" s="92">
        <v>45747</v>
      </c>
      <c r="L66" s="93">
        <v>45756</v>
      </c>
      <c r="M66" s="19">
        <v>24688</v>
      </c>
      <c r="N66" s="20">
        <v>10500</v>
      </c>
      <c r="O66" s="20">
        <f t="shared" si="4"/>
        <v>500</v>
      </c>
      <c r="P66" s="28">
        <f t="shared" si="5"/>
        <v>13944</v>
      </c>
      <c r="Q66" s="28">
        <f t="shared" si="6"/>
        <v>697.2</v>
      </c>
      <c r="R66" s="29">
        <v>5</v>
      </c>
      <c r="S66" s="94" t="s">
        <v>3</v>
      </c>
      <c r="T66" s="8"/>
    </row>
    <row r="67" spans="1:20" x14ac:dyDescent="0.3">
      <c r="A67" s="89" t="s">
        <v>83</v>
      </c>
      <c r="B67" s="135" t="s">
        <v>17</v>
      </c>
      <c r="C67" s="135" t="s">
        <v>47</v>
      </c>
      <c r="D67" s="5">
        <v>526</v>
      </c>
      <c r="E67" s="1" t="s">
        <v>12</v>
      </c>
      <c r="F67" s="11">
        <v>45756</v>
      </c>
      <c r="G67" s="15">
        <v>12.5</v>
      </c>
      <c r="H67" s="4" t="s">
        <v>9</v>
      </c>
      <c r="I67" s="4">
        <v>25</v>
      </c>
      <c r="J67" s="16">
        <v>615</v>
      </c>
      <c r="K67" s="90">
        <v>45763</v>
      </c>
      <c r="L67" s="38">
        <v>45762</v>
      </c>
      <c r="M67" s="1">
        <v>24716</v>
      </c>
      <c r="N67" s="13">
        <v>25000</v>
      </c>
      <c r="O67" s="7">
        <f t="shared" ref="O67:O98" si="7">(N67-G67*1000)</f>
        <v>12500</v>
      </c>
      <c r="P67" s="10">
        <f t="shared" si="5"/>
        <v>15375</v>
      </c>
      <c r="Q67" s="10">
        <f t="shared" si="6"/>
        <v>768.75</v>
      </c>
      <c r="R67" s="13">
        <v>5</v>
      </c>
      <c r="S67" s="10" t="s">
        <v>3</v>
      </c>
      <c r="T67" s="55"/>
    </row>
    <row r="68" spans="1:20" x14ac:dyDescent="0.3">
      <c r="A68" s="89" t="s">
        <v>83</v>
      </c>
      <c r="B68" s="137" t="s">
        <v>17</v>
      </c>
      <c r="C68" s="137" t="s">
        <v>45</v>
      </c>
      <c r="D68" s="60">
        <v>527</v>
      </c>
      <c r="E68" s="42" t="s">
        <v>12</v>
      </c>
      <c r="F68" s="43">
        <v>45756</v>
      </c>
      <c r="G68" s="42">
        <v>75</v>
      </c>
      <c r="H68" s="36" t="s">
        <v>9</v>
      </c>
      <c r="I68" s="36">
        <v>150</v>
      </c>
      <c r="J68" s="45">
        <v>0</v>
      </c>
      <c r="K68" s="96">
        <v>45763</v>
      </c>
      <c r="L68" s="96">
        <v>45763</v>
      </c>
      <c r="M68" s="42"/>
      <c r="N68" s="46">
        <v>75000</v>
      </c>
      <c r="O68" s="47">
        <f t="shared" si="7"/>
        <v>0</v>
      </c>
      <c r="P68" s="48">
        <f t="shared" si="5"/>
        <v>0</v>
      </c>
      <c r="Q68" s="48">
        <f t="shared" si="6"/>
        <v>0</v>
      </c>
      <c r="R68" s="46">
        <v>5</v>
      </c>
      <c r="S68" s="42" t="s">
        <v>62</v>
      </c>
      <c r="T68" s="55"/>
    </row>
    <row r="69" spans="1:20" x14ac:dyDescent="0.3">
      <c r="A69" s="89" t="s">
        <v>83</v>
      </c>
      <c r="B69" s="135" t="s">
        <v>17</v>
      </c>
      <c r="C69" s="135" t="s">
        <v>45</v>
      </c>
      <c r="D69" s="5">
        <v>527</v>
      </c>
      <c r="E69" s="1" t="s">
        <v>12</v>
      </c>
      <c r="F69" s="11">
        <v>45756</v>
      </c>
      <c r="G69" s="15">
        <v>100</v>
      </c>
      <c r="H69" s="4" t="s">
        <v>9</v>
      </c>
      <c r="I69" s="4">
        <v>200</v>
      </c>
      <c r="J69" s="16">
        <v>544</v>
      </c>
      <c r="K69" s="90">
        <v>45763</v>
      </c>
      <c r="L69" s="38">
        <v>45762</v>
      </c>
      <c r="M69" s="1">
        <v>24716</v>
      </c>
      <c r="N69" s="13">
        <v>25000</v>
      </c>
      <c r="O69" s="7">
        <f t="shared" si="7"/>
        <v>-75000</v>
      </c>
      <c r="P69" s="10">
        <f t="shared" si="5"/>
        <v>13600</v>
      </c>
      <c r="Q69" s="10">
        <f t="shared" si="6"/>
        <v>680</v>
      </c>
      <c r="R69" s="13">
        <v>5</v>
      </c>
      <c r="S69" s="99" t="s">
        <v>3</v>
      </c>
      <c r="T69" s="55"/>
    </row>
    <row r="70" spans="1:20" x14ac:dyDescent="0.3">
      <c r="A70" s="89" t="s">
        <v>83</v>
      </c>
      <c r="B70" s="137" t="s">
        <v>17</v>
      </c>
      <c r="C70" s="137" t="s">
        <v>46</v>
      </c>
      <c r="D70" s="207">
        <v>528</v>
      </c>
      <c r="E70" s="42" t="s">
        <v>12</v>
      </c>
      <c r="F70" s="43">
        <v>45756</v>
      </c>
      <c r="G70" s="36">
        <v>1</v>
      </c>
      <c r="H70" s="36" t="s">
        <v>9</v>
      </c>
      <c r="I70" s="36">
        <v>2</v>
      </c>
      <c r="J70" s="56">
        <v>0</v>
      </c>
      <c r="K70" s="96">
        <v>45763</v>
      </c>
      <c r="L70" s="96">
        <v>45763</v>
      </c>
      <c r="M70" s="42"/>
      <c r="N70" s="47">
        <v>1000</v>
      </c>
      <c r="O70" s="47">
        <f t="shared" si="7"/>
        <v>0</v>
      </c>
      <c r="P70" s="57">
        <f t="shared" si="5"/>
        <v>0</v>
      </c>
      <c r="Q70" s="57">
        <f t="shared" si="6"/>
        <v>0</v>
      </c>
      <c r="R70" s="46">
        <v>5</v>
      </c>
      <c r="S70" s="42" t="s">
        <v>62</v>
      </c>
      <c r="T70" s="55"/>
    </row>
    <row r="71" spans="1:20" x14ac:dyDescent="0.3">
      <c r="A71" s="89" t="s">
        <v>83</v>
      </c>
      <c r="B71" s="138" t="s">
        <v>17</v>
      </c>
      <c r="C71" s="138" t="s">
        <v>46</v>
      </c>
      <c r="D71" s="206">
        <v>528</v>
      </c>
      <c r="E71" s="19" t="s">
        <v>12</v>
      </c>
      <c r="F71" s="32">
        <v>45756</v>
      </c>
      <c r="G71" s="53">
        <v>3</v>
      </c>
      <c r="H71" s="23" t="s">
        <v>9</v>
      </c>
      <c r="I71" s="23">
        <v>6</v>
      </c>
      <c r="J71" s="27">
        <v>655</v>
      </c>
      <c r="K71" s="92">
        <v>45763</v>
      </c>
      <c r="L71" s="93">
        <v>45756</v>
      </c>
      <c r="M71" s="19">
        <v>24688</v>
      </c>
      <c r="N71" s="20">
        <v>2000</v>
      </c>
      <c r="O71" s="20">
        <f t="shared" si="7"/>
        <v>-1000</v>
      </c>
      <c r="P71" s="28">
        <f t="shared" si="5"/>
        <v>1310</v>
      </c>
      <c r="Q71" s="28">
        <f t="shared" si="6"/>
        <v>65.5</v>
      </c>
      <c r="R71" s="21">
        <v>5</v>
      </c>
      <c r="S71" s="1" t="s">
        <v>3</v>
      </c>
      <c r="T71" s="55"/>
    </row>
    <row r="72" spans="1:20" x14ac:dyDescent="0.3">
      <c r="A72" s="89" t="s">
        <v>83</v>
      </c>
      <c r="B72" s="135" t="s">
        <v>17</v>
      </c>
      <c r="C72" s="135" t="s">
        <v>48</v>
      </c>
      <c r="D72" s="75">
        <v>529</v>
      </c>
      <c r="E72" s="1" t="s">
        <v>12</v>
      </c>
      <c r="F72" s="11">
        <v>45756</v>
      </c>
      <c r="G72" s="58">
        <v>5</v>
      </c>
      <c r="H72" s="4">
        <v>10</v>
      </c>
      <c r="I72" s="4">
        <v>10</v>
      </c>
      <c r="J72" s="6">
        <v>1328</v>
      </c>
      <c r="K72" s="90">
        <v>45763</v>
      </c>
      <c r="L72" s="38">
        <v>45762</v>
      </c>
      <c r="M72" s="1">
        <v>24716</v>
      </c>
      <c r="N72" s="7">
        <v>5000</v>
      </c>
      <c r="O72" s="7">
        <f t="shared" si="7"/>
        <v>0</v>
      </c>
      <c r="P72" s="6">
        <f t="shared" si="5"/>
        <v>6640</v>
      </c>
      <c r="Q72" s="6">
        <f t="shared" si="6"/>
        <v>332</v>
      </c>
      <c r="R72" s="18">
        <v>5</v>
      </c>
      <c r="S72" s="91" t="s">
        <v>3</v>
      </c>
      <c r="T72" s="55"/>
    </row>
    <row r="73" spans="1:20" x14ac:dyDescent="0.3">
      <c r="A73" s="89" t="s">
        <v>83</v>
      </c>
      <c r="B73" s="137" t="s">
        <v>17</v>
      </c>
      <c r="C73" s="141" t="s">
        <v>50</v>
      </c>
      <c r="D73" s="60">
        <v>530</v>
      </c>
      <c r="E73" s="42" t="s">
        <v>12</v>
      </c>
      <c r="F73" s="43">
        <v>45756</v>
      </c>
      <c r="G73" s="42">
        <v>17.600000000000001</v>
      </c>
      <c r="H73" s="36" t="s">
        <v>9</v>
      </c>
      <c r="I73" s="60">
        <f>(N73/500)</f>
        <v>35.200000000000003</v>
      </c>
      <c r="J73" s="45">
        <v>0</v>
      </c>
      <c r="K73" s="43">
        <v>45763</v>
      </c>
      <c r="L73" s="43">
        <v>45763</v>
      </c>
      <c r="M73" s="42"/>
      <c r="N73" s="46">
        <v>17600</v>
      </c>
      <c r="O73" s="47">
        <f t="shared" si="7"/>
        <v>0</v>
      </c>
      <c r="P73" s="48">
        <f t="shared" si="5"/>
        <v>0</v>
      </c>
      <c r="Q73" s="48">
        <f t="shared" si="6"/>
        <v>0</v>
      </c>
      <c r="R73" s="46">
        <v>5</v>
      </c>
      <c r="S73" s="42" t="s">
        <v>62</v>
      </c>
      <c r="T73" s="55"/>
    </row>
    <row r="74" spans="1:20" x14ac:dyDescent="0.3">
      <c r="A74" s="89" t="s">
        <v>83</v>
      </c>
      <c r="B74" s="138" t="s">
        <v>17</v>
      </c>
      <c r="C74" s="136" t="s">
        <v>50</v>
      </c>
      <c r="D74" s="30">
        <v>530</v>
      </c>
      <c r="E74" s="19" t="s">
        <v>12</v>
      </c>
      <c r="F74" s="32">
        <v>45756</v>
      </c>
      <c r="G74" s="52">
        <v>25</v>
      </c>
      <c r="H74" s="23" t="s">
        <v>9</v>
      </c>
      <c r="I74" s="59">
        <v>62.5</v>
      </c>
      <c r="J74" s="24">
        <v>427</v>
      </c>
      <c r="K74" s="100">
        <v>45763</v>
      </c>
      <c r="L74" s="32">
        <v>45756</v>
      </c>
      <c r="M74" s="19">
        <v>24688</v>
      </c>
      <c r="N74" s="21">
        <v>7400</v>
      </c>
      <c r="O74" s="20">
        <f t="shared" si="7"/>
        <v>-17600</v>
      </c>
      <c r="P74" s="25">
        <f t="shared" si="5"/>
        <v>3159.8</v>
      </c>
      <c r="Q74" s="25">
        <f t="shared" si="6"/>
        <v>157.99</v>
      </c>
      <c r="R74" s="21">
        <v>5</v>
      </c>
      <c r="S74" s="1" t="s">
        <v>3</v>
      </c>
      <c r="T74" s="55"/>
    </row>
    <row r="75" spans="1:20" x14ac:dyDescent="0.3">
      <c r="A75" s="89" t="s">
        <v>83</v>
      </c>
      <c r="B75" s="135" t="s">
        <v>17</v>
      </c>
      <c r="C75" s="134" t="s">
        <v>49</v>
      </c>
      <c r="D75" s="75">
        <v>531</v>
      </c>
      <c r="E75" s="1" t="s">
        <v>12</v>
      </c>
      <c r="F75" s="11">
        <v>45756</v>
      </c>
      <c r="G75" s="58">
        <v>5</v>
      </c>
      <c r="H75" s="4" t="s">
        <v>9</v>
      </c>
      <c r="I75" s="4">
        <v>12.5</v>
      </c>
      <c r="J75" s="6">
        <v>1328</v>
      </c>
      <c r="K75" s="90">
        <v>45763</v>
      </c>
      <c r="L75" s="38">
        <v>45762</v>
      </c>
      <c r="M75" s="1">
        <v>24716</v>
      </c>
      <c r="N75" s="7">
        <v>5200</v>
      </c>
      <c r="O75" s="7">
        <f t="shared" si="7"/>
        <v>200</v>
      </c>
      <c r="P75" s="6">
        <f t="shared" si="5"/>
        <v>6905.6</v>
      </c>
      <c r="Q75" s="6">
        <f t="shared" si="6"/>
        <v>345.28000000000003</v>
      </c>
      <c r="R75" s="18">
        <v>5</v>
      </c>
      <c r="S75" s="1" t="s">
        <v>3</v>
      </c>
      <c r="T75" s="55"/>
    </row>
    <row r="76" spans="1:20" x14ac:dyDescent="0.3">
      <c r="A76" s="89" t="s">
        <v>83</v>
      </c>
      <c r="B76" s="138" t="s">
        <v>17</v>
      </c>
      <c r="C76" s="138" t="s">
        <v>47</v>
      </c>
      <c r="D76" s="30">
        <v>532</v>
      </c>
      <c r="E76" s="19" t="s">
        <v>12</v>
      </c>
      <c r="F76" s="32">
        <v>45756</v>
      </c>
      <c r="G76" s="52">
        <v>10</v>
      </c>
      <c r="H76" s="23" t="s">
        <v>9</v>
      </c>
      <c r="I76" s="23">
        <v>20</v>
      </c>
      <c r="J76" s="24">
        <v>615</v>
      </c>
      <c r="K76" s="92">
        <v>45777</v>
      </c>
      <c r="L76" s="93">
        <v>45776</v>
      </c>
      <c r="M76" s="19">
        <v>24784</v>
      </c>
      <c r="N76" s="21">
        <v>10000</v>
      </c>
      <c r="O76" s="20">
        <f t="shared" si="7"/>
        <v>0</v>
      </c>
      <c r="P76" s="25">
        <f t="shared" si="5"/>
        <v>6150</v>
      </c>
      <c r="Q76" s="25">
        <f t="shared" si="6"/>
        <v>307.5</v>
      </c>
      <c r="R76" s="21">
        <v>5</v>
      </c>
      <c r="S76" s="1" t="s">
        <v>3</v>
      </c>
      <c r="T76" s="55"/>
    </row>
    <row r="77" spans="1:20" x14ac:dyDescent="0.3">
      <c r="A77" s="89" t="s">
        <v>83</v>
      </c>
      <c r="B77" s="138" t="s">
        <v>17</v>
      </c>
      <c r="C77" s="138" t="s">
        <v>45</v>
      </c>
      <c r="D77" s="30">
        <v>533</v>
      </c>
      <c r="E77" s="19" t="s">
        <v>12</v>
      </c>
      <c r="F77" s="32">
        <v>45756</v>
      </c>
      <c r="G77" s="52">
        <v>200</v>
      </c>
      <c r="H77" s="23" t="s">
        <v>9</v>
      </c>
      <c r="I77" s="23">
        <v>400</v>
      </c>
      <c r="J77" s="24">
        <v>544</v>
      </c>
      <c r="K77" s="92">
        <v>45777</v>
      </c>
      <c r="L77" s="93">
        <v>45776</v>
      </c>
      <c r="M77" s="19">
        <v>24784</v>
      </c>
      <c r="N77" s="21">
        <v>200000</v>
      </c>
      <c r="O77" s="20">
        <f t="shared" si="7"/>
        <v>0</v>
      </c>
      <c r="P77" s="25">
        <f t="shared" si="5"/>
        <v>108800</v>
      </c>
      <c r="Q77" s="25">
        <f t="shared" si="6"/>
        <v>5440</v>
      </c>
      <c r="R77" s="21">
        <v>5</v>
      </c>
      <c r="S77" s="1" t="s">
        <v>3</v>
      </c>
      <c r="T77" s="55"/>
    </row>
    <row r="78" spans="1:20" x14ac:dyDescent="0.3">
      <c r="A78" s="89" t="s">
        <v>83</v>
      </c>
      <c r="B78" s="138" t="s">
        <v>17</v>
      </c>
      <c r="C78" s="138" t="s">
        <v>46</v>
      </c>
      <c r="D78" s="206">
        <v>534</v>
      </c>
      <c r="E78" s="19" t="s">
        <v>12</v>
      </c>
      <c r="F78" s="32">
        <v>45756</v>
      </c>
      <c r="G78" s="53">
        <v>1</v>
      </c>
      <c r="H78" s="23" t="s">
        <v>9</v>
      </c>
      <c r="I78" s="23">
        <v>2</v>
      </c>
      <c r="J78" s="27">
        <v>655</v>
      </c>
      <c r="K78" s="92">
        <v>45777</v>
      </c>
      <c r="L78" s="93">
        <v>45776</v>
      </c>
      <c r="M78" s="19">
        <v>24784</v>
      </c>
      <c r="N78" s="20">
        <v>1000</v>
      </c>
      <c r="O78" s="20">
        <f t="shared" si="7"/>
        <v>0</v>
      </c>
      <c r="P78" s="28">
        <f t="shared" si="5"/>
        <v>655</v>
      </c>
      <c r="Q78" s="28">
        <f t="shared" si="6"/>
        <v>32.75</v>
      </c>
      <c r="R78" s="21">
        <v>5</v>
      </c>
      <c r="S78" s="1" t="s">
        <v>3</v>
      </c>
      <c r="T78" s="55"/>
    </row>
    <row r="79" spans="1:20" x14ac:dyDescent="0.3">
      <c r="A79" s="89" t="s">
        <v>83</v>
      </c>
      <c r="B79" s="138" t="s">
        <v>17</v>
      </c>
      <c r="C79" s="138" t="s">
        <v>48</v>
      </c>
      <c r="D79" s="206">
        <v>535</v>
      </c>
      <c r="E79" s="19" t="s">
        <v>12</v>
      </c>
      <c r="F79" s="32">
        <v>45756</v>
      </c>
      <c r="G79" s="53">
        <v>22</v>
      </c>
      <c r="H79" s="23" t="s">
        <v>9</v>
      </c>
      <c r="I79" s="23">
        <v>44</v>
      </c>
      <c r="J79" s="28">
        <v>1328</v>
      </c>
      <c r="K79" s="92">
        <v>45777</v>
      </c>
      <c r="L79" s="93">
        <v>45776</v>
      </c>
      <c r="M79" s="19">
        <v>24784</v>
      </c>
      <c r="N79" s="20">
        <v>22000</v>
      </c>
      <c r="O79" s="20">
        <f t="shared" si="7"/>
        <v>0</v>
      </c>
      <c r="P79" s="28">
        <f t="shared" si="5"/>
        <v>29216</v>
      </c>
      <c r="Q79" s="28">
        <f t="shared" si="6"/>
        <v>1460.8000000000002</v>
      </c>
      <c r="R79" s="29">
        <v>5</v>
      </c>
      <c r="S79" s="1" t="s">
        <v>3</v>
      </c>
      <c r="T79" s="55"/>
    </row>
    <row r="80" spans="1:20" x14ac:dyDescent="0.3">
      <c r="A80" s="89" t="s">
        <v>83</v>
      </c>
      <c r="B80" s="138" t="s">
        <v>17</v>
      </c>
      <c r="C80" s="136" t="s">
        <v>50</v>
      </c>
      <c r="D80" s="30">
        <v>536</v>
      </c>
      <c r="E80" s="19" t="s">
        <v>12</v>
      </c>
      <c r="F80" s="32">
        <v>45756</v>
      </c>
      <c r="G80" s="52">
        <v>45</v>
      </c>
      <c r="H80" s="23" t="s">
        <v>9</v>
      </c>
      <c r="I80" s="59">
        <v>112.5</v>
      </c>
      <c r="J80" s="24">
        <v>427</v>
      </c>
      <c r="K80" s="92">
        <v>45777</v>
      </c>
      <c r="L80" s="93">
        <v>45776</v>
      </c>
      <c r="M80" s="19">
        <v>24784</v>
      </c>
      <c r="N80" s="21">
        <v>45200</v>
      </c>
      <c r="O80" s="20">
        <f t="shared" si="7"/>
        <v>200</v>
      </c>
      <c r="P80" s="25">
        <f t="shared" si="5"/>
        <v>19300.400000000001</v>
      </c>
      <c r="Q80" s="25">
        <f t="shared" si="6"/>
        <v>965.0200000000001</v>
      </c>
      <c r="R80" s="21">
        <v>5</v>
      </c>
      <c r="S80" s="1" t="s">
        <v>3</v>
      </c>
      <c r="T80" s="55"/>
    </row>
    <row r="81" spans="1:20" x14ac:dyDescent="0.3">
      <c r="A81" s="89" t="s">
        <v>83</v>
      </c>
      <c r="B81" s="138" t="s">
        <v>17</v>
      </c>
      <c r="C81" s="136" t="s">
        <v>49</v>
      </c>
      <c r="D81" s="206">
        <v>537</v>
      </c>
      <c r="E81" s="19" t="s">
        <v>12</v>
      </c>
      <c r="F81" s="32">
        <v>45756</v>
      </c>
      <c r="G81" s="53">
        <v>10</v>
      </c>
      <c r="H81" s="23" t="s">
        <v>9</v>
      </c>
      <c r="I81" s="23">
        <v>25</v>
      </c>
      <c r="J81" s="28">
        <v>1328</v>
      </c>
      <c r="K81" s="92">
        <v>45777</v>
      </c>
      <c r="L81" s="93">
        <v>45776</v>
      </c>
      <c r="M81" s="19">
        <v>24784</v>
      </c>
      <c r="N81" s="20">
        <v>10000</v>
      </c>
      <c r="O81" s="20">
        <f t="shared" si="7"/>
        <v>0</v>
      </c>
      <c r="P81" s="28">
        <f t="shared" si="5"/>
        <v>13280</v>
      </c>
      <c r="Q81" s="28">
        <f t="shared" si="6"/>
        <v>664</v>
      </c>
      <c r="R81" s="29">
        <v>5</v>
      </c>
      <c r="S81" s="1" t="s">
        <v>3</v>
      </c>
      <c r="T81" s="55"/>
    </row>
    <row r="82" spans="1:20" x14ac:dyDescent="0.3">
      <c r="A82" s="89" t="s">
        <v>83</v>
      </c>
      <c r="B82" s="138" t="s">
        <v>17</v>
      </c>
      <c r="C82" s="136" t="s">
        <v>51</v>
      </c>
      <c r="D82" s="206">
        <v>538</v>
      </c>
      <c r="E82" s="19" t="s">
        <v>12</v>
      </c>
      <c r="F82" s="32">
        <v>45756</v>
      </c>
      <c r="G82" s="53">
        <v>6</v>
      </c>
      <c r="H82" s="23" t="s">
        <v>9</v>
      </c>
      <c r="I82" s="23">
        <v>15</v>
      </c>
      <c r="J82" s="28">
        <v>1328</v>
      </c>
      <c r="K82" s="92">
        <v>45777</v>
      </c>
      <c r="L82" s="93">
        <v>45776</v>
      </c>
      <c r="M82" s="19">
        <v>24784</v>
      </c>
      <c r="N82" s="20">
        <v>6000</v>
      </c>
      <c r="O82" s="20">
        <f t="shared" si="7"/>
        <v>0</v>
      </c>
      <c r="P82" s="28">
        <f>(J82*G82)</f>
        <v>7968</v>
      </c>
      <c r="Q82" s="28">
        <f t="shared" si="6"/>
        <v>398.40000000000003</v>
      </c>
      <c r="R82" s="29">
        <v>5</v>
      </c>
      <c r="S82" s="1" t="s">
        <v>3</v>
      </c>
      <c r="T82" s="55"/>
    </row>
    <row r="83" spans="1:20" x14ac:dyDescent="0.3">
      <c r="A83" s="89" t="s">
        <v>83</v>
      </c>
      <c r="B83" s="135" t="s">
        <v>17</v>
      </c>
      <c r="C83" s="135" t="s">
        <v>47</v>
      </c>
      <c r="D83" s="5">
        <v>539</v>
      </c>
      <c r="E83" s="1" t="s">
        <v>12</v>
      </c>
      <c r="F83" s="11">
        <v>45756</v>
      </c>
      <c r="G83" s="3">
        <v>5</v>
      </c>
      <c r="H83" s="4" t="s">
        <v>9</v>
      </c>
      <c r="I83" s="4">
        <f>(G83*1000/500)</f>
        <v>10</v>
      </c>
      <c r="J83" s="16">
        <v>615</v>
      </c>
      <c r="K83" s="90">
        <v>45792</v>
      </c>
      <c r="L83" s="38">
        <v>45798</v>
      </c>
      <c r="M83" s="1">
        <v>24892</v>
      </c>
      <c r="N83" s="13">
        <v>5000</v>
      </c>
      <c r="O83" s="7">
        <f t="shared" si="7"/>
        <v>0</v>
      </c>
      <c r="P83" s="10">
        <f t="shared" ref="P83:P94" si="8">(N83*J83/1000)</f>
        <v>3075</v>
      </c>
      <c r="Q83" s="10">
        <f t="shared" si="6"/>
        <v>153.75</v>
      </c>
      <c r="R83" s="13">
        <v>5</v>
      </c>
      <c r="S83" s="101" t="s">
        <v>3</v>
      </c>
      <c r="T83" s="55"/>
    </row>
    <row r="84" spans="1:20" x14ac:dyDescent="0.3">
      <c r="A84" s="89" t="s">
        <v>83</v>
      </c>
      <c r="B84" s="135" t="s">
        <v>17</v>
      </c>
      <c r="C84" s="135" t="s">
        <v>45</v>
      </c>
      <c r="D84" s="5">
        <v>540</v>
      </c>
      <c r="E84" s="1" t="s">
        <v>12</v>
      </c>
      <c r="F84" s="11">
        <v>45756</v>
      </c>
      <c r="G84" s="3">
        <v>130</v>
      </c>
      <c r="H84" s="4" t="s">
        <v>9</v>
      </c>
      <c r="I84" s="4">
        <f>(G84*1000/500)</f>
        <v>260</v>
      </c>
      <c r="J84" s="16">
        <v>544</v>
      </c>
      <c r="K84" s="90">
        <v>45792</v>
      </c>
      <c r="L84" s="38">
        <v>45798</v>
      </c>
      <c r="M84" s="1">
        <v>24892</v>
      </c>
      <c r="N84" s="13">
        <v>130000</v>
      </c>
      <c r="O84" s="7">
        <f t="shared" si="7"/>
        <v>0</v>
      </c>
      <c r="P84" s="10">
        <f t="shared" si="8"/>
        <v>70720</v>
      </c>
      <c r="Q84" s="10">
        <f t="shared" si="6"/>
        <v>3536</v>
      </c>
      <c r="R84" s="13">
        <v>5</v>
      </c>
      <c r="S84" s="101" t="s">
        <v>3</v>
      </c>
      <c r="T84" s="55"/>
    </row>
    <row r="85" spans="1:20" x14ac:dyDescent="0.3">
      <c r="A85" s="89" t="s">
        <v>83</v>
      </c>
      <c r="B85" s="135" t="s">
        <v>17</v>
      </c>
      <c r="C85" s="135" t="s">
        <v>46</v>
      </c>
      <c r="D85" s="75">
        <v>541</v>
      </c>
      <c r="E85" s="1" t="s">
        <v>12</v>
      </c>
      <c r="F85" s="11">
        <v>45756</v>
      </c>
      <c r="G85" s="17">
        <v>1</v>
      </c>
      <c r="H85" s="4" t="s">
        <v>9</v>
      </c>
      <c r="I85" s="4">
        <f>(G85*1000/500)</f>
        <v>2</v>
      </c>
      <c r="J85" s="35">
        <v>655</v>
      </c>
      <c r="K85" s="90">
        <v>45792</v>
      </c>
      <c r="L85" s="38">
        <v>45798</v>
      </c>
      <c r="M85" s="1">
        <v>24892</v>
      </c>
      <c r="N85" s="7">
        <v>1000</v>
      </c>
      <c r="O85" s="7">
        <f t="shared" si="7"/>
        <v>0</v>
      </c>
      <c r="P85" s="6">
        <f t="shared" si="8"/>
        <v>655</v>
      </c>
      <c r="Q85" s="6">
        <f t="shared" si="6"/>
        <v>32.75</v>
      </c>
      <c r="R85" s="13">
        <v>5</v>
      </c>
      <c r="S85" s="101" t="s">
        <v>3</v>
      </c>
      <c r="T85" s="55"/>
    </row>
    <row r="86" spans="1:20" x14ac:dyDescent="0.3">
      <c r="A86" s="89" t="s">
        <v>83</v>
      </c>
      <c r="B86" s="135" t="s">
        <v>17</v>
      </c>
      <c r="C86" s="135" t="s">
        <v>48</v>
      </c>
      <c r="D86" s="75">
        <v>542</v>
      </c>
      <c r="E86" s="1" t="s">
        <v>12</v>
      </c>
      <c r="F86" s="11">
        <v>45756</v>
      </c>
      <c r="G86" s="17">
        <v>10</v>
      </c>
      <c r="H86" s="4" t="s">
        <v>9</v>
      </c>
      <c r="I86" s="4">
        <f>(G86*1000/500)</f>
        <v>20</v>
      </c>
      <c r="J86" s="6">
        <v>1328</v>
      </c>
      <c r="K86" s="90">
        <v>45792</v>
      </c>
      <c r="L86" s="38">
        <v>45798</v>
      </c>
      <c r="M86" s="1">
        <v>24892</v>
      </c>
      <c r="N86" s="7">
        <v>10000</v>
      </c>
      <c r="O86" s="7">
        <f t="shared" si="7"/>
        <v>0</v>
      </c>
      <c r="P86" s="6">
        <f t="shared" si="8"/>
        <v>13280</v>
      </c>
      <c r="Q86" s="6">
        <f t="shared" si="6"/>
        <v>664</v>
      </c>
      <c r="R86" s="18">
        <v>5</v>
      </c>
      <c r="S86" s="101" t="s">
        <v>3</v>
      </c>
      <c r="T86" s="55"/>
    </row>
    <row r="87" spans="1:20" x14ac:dyDescent="0.3">
      <c r="A87" s="89" t="s">
        <v>83</v>
      </c>
      <c r="B87" s="135" t="s">
        <v>17</v>
      </c>
      <c r="C87" s="139" t="s">
        <v>50</v>
      </c>
      <c r="D87" s="5">
        <v>543</v>
      </c>
      <c r="E87" s="1" t="s">
        <v>12</v>
      </c>
      <c r="F87" s="11">
        <v>45756</v>
      </c>
      <c r="G87" s="3">
        <v>10</v>
      </c>
      <c r="H87" s="4" t="s">
        <v>9</v>
      </c>
      <c r="I87" s="4">
        <f>(G87*1000/400)</f>
        <v>25</v>
      </c>
      <c r="J87" s="16">
        <v>427</v>
      </c>
      <c r="K87" s="90">
        <v>45792</v>
      </c>
      <c r="L87" s="38">
        <v>45798</v>
      </c>
      <c r="M87" s="1">
        <v>24892</v>
      </c>
      <c r="N87" s="13">
        <v>10000</v>
      </c>
      <c r="O87" s="7">
        <f t="shared" si="7"/>
        <v>0</v>
      </c>
      <c r="P87" s="10">
        <f t="shared" si="8"/>
        <v>4270</v>
      </c>
      <c r="Q87" s="10">
        <f t="shared" si="6"/>
        <v>213.5</v>
      </c>
      <c r="R87" s="13">
        <v>5</v>
      </c>
      <c r="S87" s="101" t="s">
        <v>3</v>
      </c>
      <c r="T87" s="55"/>
    </row>
    <row r="88" spans="1:20" x14ac:dyDescent="0.3">
      <c r="A88" s="89" t="s">
        <v>83</v>
      </c>
      <c r="B88" s="135" t="s">
        <v>17</v>
      </c>
      <c r="C88" s="134" t="s">
        <v>49</v>
      </c>
      <c r="D88" s="75">
        <v>544</v>
      </c>
      <c r="E88" s="1" t="s">
        <v>12</v>
      </c>
      <c r="F88" s="11">
        <v>45756</v>
      </c>
      <c r="G88" s="17">
        <v>20</v>
      </c>
      <c r="H88" s="4" t="s">
        <v>9</v>
      </c>
      <c r="I88" s="4">
        <f>(G88*1000/400)</f>
        <v>50</v>
      </c>
      <c r="J88" s="6">
        <v>1328</v>
      </c>
      <c r="K88" s="90">
        <v>45792</v>
      </c>
      <c r="L88" s="38">
        <v>45798</v>
      </c>
      <c r="M88" s="1">
        <v>24892</v>
      </c>
      <c r="N88" s="7">
        <v>20000</v>
      </c>
      <c r="O88" s="7">
        <f t="shared" si="7"/>
        <v>0</v>
      </c>
      <c r="P88" s="6">
        <f t="shared" si="8"/>
        <v>26560</v>
      </c>
      <c r="Q88" s="6">
        <f t="shared" si="6"/>
        <v>1328</v>
      </c>
      <c r="R88" s="18">
        <v>5</v>
      </c>
      <c r="S88" s="101" t="s">
        <v>3</v>
      </c>
      <c r="T88" s="55"/>
    </row>
    <row r="89" spans="1:20" x14ac:dyDescent="0.3">
      <c r="A89" s="89" t="s">
        <v>83</v>
      </c>
      <c r="B89" s="135" t="s">
        <v>17</v>
      </c>
      <c r="C89" s="135" t="s">
        <v>47</v>
      </c>
      <c r="D89" s="5">
        <v>545</v>
      </c>
      <c r="E89" s="1" t="s">
        <v>12</v>
      </c>
      <c r="F89" s="11">
        <v>45756</v>
      </c>
      <c r="G89" s="3">
        <v>5</v>
      </c>
      <c r="H89" s="4" t="s">
        <v>9</v>
      </c>
      <c r="I89" s="4">
        <v>25</v>
      </c>
      <c r="J89" s="16">
        <v>615</v>
      </c>
      <c r="K89" s="90">
        <v>45805</v>
      </c>
      <c r="L89" s="38">
        <v>45812</v>
      </c>
      <c r="M89" s="1">
        <v>24963</v>
      </c>
      <c r="N89" s="13">
        <v>5000</v>
      </c>
      <c r="O89" s="7">
        <f t="shared" si="7"/>
        <v>0</v>
      </c>
      <c r="P89" s="10">
        <f t="shared" si="8"/>
        <v>3075</v>
      </c>
      <c r="Q89" s="10">
        <f t="shared" si="6"/>
        <v>153.75</v>
      </c>
      <c r="R89" s="13">
        <v>5</v>
      </c>
      <c r="S89" s="94" t="s">
        <v>3</v>
      </c>
      <c r="T89" s="55"/>
    </row>
    <row r="90" spans="1:20" x14ac:dyDescent="0.3">
      <c r="A90" s="89" t="s">
        <v>83</v>
      </c>
      <c r="B90" s="135" t="s">
        <v>17</v>
      </c>
      <c r="C90" s="135" t="s">
        <v>45</v>
      </c>
      <c r="D90" s="5">
        <v>546</v>
      </c>
      <c r="E90" s="1" t="s">
        <v>12</v>
      </c>
      <c r="F90" s="11">
        <v>45756</v>
      </c>
      <c r="G90" s="3">
        <v>100</v>
      </c>
      <c r="H90" s="4" t="s">
        <v>9</v>
      </c>
      <c r="I90" s="4">
        <v>300</v>
      </c>
      <c r="J90" s="16">
        <v>544</v>
      </c>
      <c r="K90" s="90">
        <v>45805</v>
      </c>
      <c r="L90" s="38">
        <v>45812</v>
      </c>
      <c r="M90" s="1">
        <v>24963</v>
      </c>
      <c r="N90" s="13">
        <v>100000</v>
      </c>
      <c r="O90" s="7">
        <f t="shared" si="7"/>
        <v>0</v>
      </c>
      <c r="P90" s="10">
        <f t="shared" si="8"/>
        <v>54400</v>
      </c>
      <c r="Q90" s="10">
        <f t="shared" si="6"/>
        <v>2720</v>
      </c>
      <c r="R90" s="13">
        <v>5</v>
      </c>
      <c r="S90" s="94" t="s">
        <v>3</v>
      </c>
      <c r="T90" s="55"/>
    </row>
    <row r="91" spans="1:20" x14ac:dyDescent="0.3">
      <c r="A91" s="89" t="s">
        <v>83</v>
      </c>
      <c r="B91" s="135" t="s">
        <v>17</v>
      </c>
      <c r="C91" s="135" t="s">
        <v>46</v>
      </c>
      <c r="D91" s="75">
        <v>547</v>
      </c>
      <c r="E91" s="1" t="s">
        <v>12</v>
      </c>
      <c r="F91" s="11">
        <v>45756</v>
      </c>
      <c r="G91" s="17">
        <v>1</v>
      </c>
      <c r="H91" s="4" t="s">
        <v>9</v>
      </c>
      <c r="I91" s="4">
        <v>6</v>
      </c>
      <c r="J91" s="35">
        <v>655</v>
      </c>
      <c r="K91" s="90">
        <v>45805</v>
      </c>
      <c r="L91" s="38">
        <v>45812</v>
      </c>
      <c r="M91" s="1">
        <v>24963</v>
      </c>
      <c r="N91" s="7">
        <v>1000</v>
      </c>
      <c r="O91" s="7">
        <f t="shared" si="7"/>
        <v>0</v>
      </c>
      <c r="P91" s="6">
        <f t="shared" si="8"/>
        <v>655</v>
      </c>
      <c r="Q91" s="6">
        <f t="shared" si="6"/>
        <v>32.75</v>
      </c>
      <c r="R91" s="13">
        <v>5</v>
      </c>
      <c r="S91" s="94" t="s">
        <v>3</v>
      </c>
      <c r="T91" s="55"/>
    </row>
    <row r="92" spans="1:20" x14ac:dyDescent="0.3">
      <c r="A92" s="89" t="s">
        <v>83</v>
      </c>
      <c r="B92" s="135" t="s">
        <v>17</v>
      </c>
      <c r="C92" s="135" t="s">
        <v>48</v>
      </c>
      <c r="D92" s="75">
        <v>548</v>
      </c>
      <c r="E92" s="1" t="s">
        <v>12</v>
      </c>
      <c r="F92" s="11">
        <v>45756</v>
      </c>
      <c r="G92" s="17">
        <v>8</v>
      </c>
      <c r="H92" s="4" t="s">
        <v>9</v>
      </c>
      <c r="I92" s="4">
        <v>40</v>
      </c>
      <c r="J92" s="6">
        <v>1328</v>
      </c>
      <c r="K92" s="90">
        <v>45805</v>
      </c>
      <c r="L92" s="38">
        <v>45812</v>
      </c>
      <c r="M92" s="1">
        <v>24963</v>
      </c>
      <c r="N92" s="7">
        <v>8000</v>
      </c>
      <c r="O92" s="7">
        <f t="shared" si="7"/>
        <v>0</v>
      </c>
      <c r="P92" s="6">
        <f t="shared" si="8"/>
        <v>10624</v>
      </c>
      <c r="Q92" s="6">
        <f t="shared" ref="Q92:Q123" si="9">(P92*0.05)</f>
        <v>531.20000000000005</v>
      </c>
      <c r="R92" s="18">
        <v>5</v>
      </c>
      <c r="S92" s="94" t="s">
        <v>3</v>
      </c>
      <c r="T92" s="55"/>
    </row>
    <row r="93" spans="1:20" x14ac:dyDescent="0.3">
      <c r="A93" s="89" t="s">
        <v>83</v>
      </c>
      <c r="B93" s="135" t="s">
        <v>17</v>
      </c>
      <c r="C93" s="139" t="s">
        <v>50</v>
      </c>
      <c r="D93" s="5">
        <v>549</v>
      </c>
      <c r="E93" s="1" t="s">
        <v>12</v>
      </c>
      <c r="F93" s="11">
        <v>45756</v>
      </c>
      <c r="G93" s="3">
        <v>10</v>
      </c>
      <c r="H93" s="4" t="s">
        <v>9</v>
      </c>
      <c r="I93" s="4">
        <f>(G93*1000/400)</f>
        <v>25</v>
      </c>
      <c r="J93" s="16">
        <v>427</v>
      </c>
      <c r="K93" s="90">
        <v>45805</v>
      </c>
      <c r="L93" s="38">
        <v>45812</v>
      </c>
      <c r="M93" s="1">
        <v>24963</v>
      </c>
      <c r="N93" s="13">
        <v>10000</v>
      </c>
      <c r="O93" s="7">
        <f t="shared" si="7"/>
        <v>0</v>
      </c>
      <c r="P93" s="10">
        <f t="shared" si="8"/>
        <v>4270</v>
      </c>
      <c r="Q93" s="10">
        <f t="shared" si="9"/>
        <v>213.5</v>
      </c>
      <c r="R93" s="13">
        <v>5</v>
      </c>
      <c r="S93" s="94" t="s">
        <v>3</v>
      </c>
      <c r="T93" s="55"/>
    </row>
    <row r="94" spans="1:20" x14ac:dyDescent="0.3">
      <c r="A94" s="89" t="s">
        <v>83</v>
      </c>
      <c r="B94" s="135" t="s">
        <v>17</v>
      </c>
      <c r="C94" s="134" t="s">
        <v>49</v>
      </c>
      <c r="D94" s="75">
        <v>550</v>
      </c>
      <c r="E94" s="1" t="s">
        <v>12</v>
      </c>
      <c r="F94" s="11">
        <v>45756</v>
      </c>
      <c r="G94" s="17">
        <v>5</v>
      </c>
      <c r="H94" s="4" t="s">
        <v>9</v>
      </c>
      <c r="I94" s="4">
        <f>(G94*1000/400)</f>
        <v>12.5</v>
      </c>
      <c r="J94" s="6">
        <v>1328</v>
      </c>
      <c r="K94" s="90">
        <v>45805</v>
      </c>
      <c r="L94" s="38">
        <v>45812</v>
      </c>
      <c r="M94" s="1">
        <v>24963</v>
      </c>
      <c r="N94" s="7">
        <v>5200</v>
      </c>
      <c r="O94" s="7">
        <f t="shared" si="7"/>
        <v>200</v>
      </c>
      <c r="P94" s="6">
        <f t="shared" si="8"/>
        <v>6905.6</v>
      </c>
      <c r="Q94" s="6">
        <f t="shared" si="9"/>
        <v>345.28000000000003</v>
      </c>
      <c r="R94" s="18">
        <v>5</v>
      </c>
      <c r="S94" s="94" t="s">
        <v>3</v>
      </c>
      <c r="T94" s="55"/>
    </row>
    <row r="95" spans="1:20" x14ac:dyDescent="0.3">
      <c r="A95" s="89" t="s">
        <v>83</v>
      </c>
      <c r="B95" s="135" t="s">
        <v>17</v>
      </c>
      <c r="C95" s="134" t="s">
        <v>51</v>
      </c>
      <c r="D95" s="75">
        <v>551</v>
      </c>
      <c r="E95" s="1" t="s">
        <v>12</v>
      </c>
      <c r="F95" s="11">
        <v>45756</v>
      </c>
      <c r="G95" s="17">
        <v>8</v>
      </c>
      <c r="H95" s="4" t="s">
        <v>9</v>
      </c>
      <c r="I95" s="4">
        <f>(G95*1000/400)</f>
        <v>20</v>
      </c>
      <c r="J95" s="6">
        <v>1328</v>
      </c>
      <c r="K95" s="90">
        <v>45805</v>
      </c>
      <c r="L95" s="38">
        <v>45812</v>
      </c>
      <c r="M95" s="1">
        <v>24963</v>
      </c>
      <c r="N95" s="7">
        <v>8000</v>
      </c>
      <c r="O95" s="7">
        <f t="shared" si="7"/>
        <v>0</v>
      </c>
      <c r="P95" s="6">
        <f>(J95*G95)</f>
        <v>10624</v>
      </c>
      <c r="Q95" s="6">
        <f t="shared" si="9"/>
        <v>531.20000000000005</v>
      </c>
      <c r="R95" s="18">
        <v>5</v>
      </c>
      <c r="S95" s="94" t="s">
        <v>3</v>
      </c>
      <c r="T95" s="55"/>
    </row>
    <row r="96" spans="1:20" x14ac:dyDescent="0.3">
      <c r="A96" s="89" t="s">
        <v>83</v>
      </c>
      <c r="B96" s="135" t="s">
        <v>17</v>
      </c>
      <c r="C96" s="135" t="s">
        <v>47</v>
      </c>
      <c r="D96" s="5">
        <v>552</v>
      </c>
      <c r="E96" s="1" t="s">
        <v>12</v>
      </c>
      <c r="F96" s="11">
        <v>45818</v>
      </c>
      <c r="G96" s="3">
        <v>15</v>
      </c>
      <c r="H96" s="4" t="s">
        <v>9</v>
      </c>
      <c r="I96" s="4">
        <f>(G96*1000/500)</f>
        <v>30</v>
      </c>
      <c r="J96" s="16">
        <v>615</v>
      </c>
      <c r="K96" s="90">
        <v>45831</v>
      </c>
      <c r="L96" s="38">
        <v>45828</v>
      </c>
      <c r="M96" s="1">
        <v>25018</v>
      </c>
      <c r="N96" s="13">
        <v>15000</v>
      </c>
      <c r="O96" s="7">
        <f t="shared" si="7"/>
        <v>0</v>
      </c>
      <c r="P96" s="10">
        <f t="shared" ref="P96:P101" si="10">(N96*J96/1000)</f>
        <v>9225</v>
      </c>
      <c r="Q96" s="10">
        <f t="shared" si="9"/>
        <v>461.25</v>
      </c>
      <c r="R96" s="13">
        <v>5</v>
      </c>
      <c r="S96" s="1" t="s">
        <v>3</v>
      </c>
      <c r="T96" s="55"/>
    </row>
    <row r="97" spans="1:20" x14ac:dyDescent="0.3">
      <c r="A97" s="89" t="s">
        <v>83</v>
      </c>
      <c r="B97" s="135" t="s">
        <v>17</v>
      </c>
      <c r="C97" s="135" t="s">
        <v>45</v>
      </c>
      <c r="D97" s="5">
        <v>553</v>
      </c>
      <c r="E97" s="1" t="s">
        <v>12</v>
      </c>
      <c r="F97" s="11">
        <v>45818</v>
      </c>
      <c r="G97" s="3">
        <v>150</v>
      </c>
      <c r="H97" s="4" t="s">
        <v>9</v>
      </c>
      <c r="I97" s="4">
        <f>(G97*1000/500)</f>
        <v>300</v>
      </c>
      <c r="J97" s="16">
        <v>544</v>
      </c>
      <c r="K97" s="90">
        <v>45831</v>
      </c>
      <c r="L97" s="38">
        <v>45828</v>
      </c>
      <c r="M97" s="1">
        <v>25018</v>
      </c>
      <c r="N97" s="13">
        <v>150000</v>
      </c>
      <c r="O97" s="7">
        <f t="shared" si="7"/>
        <v>0</v>
      </c>
      <c r="P97" s="10">
        <f t="shared" si="10"/>
        <v>81600</v>
      </c>
      <c r="Q97" s="10">
        <f t="shared" si="9"/>
        <v>4080</v>
      </c>
      <c r="R97" s="13">
        <v>5</v>
      </c>
      <c r="S97" s="1" t="s">
        <v>3</v>
      </c>
      <c r="T97" s="55"/>
    </row>
    <row r="98" spans="1:20" x14ac:dyDescent="0.3">
      <c r="A98" s="89" t="s">
        <v>83</v>
      </c>
      <c r="B98" s="135" t="s">
        <v>17</v>
      </c>
      <c r="C98" s="135" t="s">
        <v>46</v>
      </c>
      <c r="D98" s="75">
        <v>554</v>
      </c>
      <c r="E98" s="1" t="s">
        <v>12</v>
      </c>
      <c r="F98" s="11">
        <v>45818</v>
      </c>
      <c r="G98" s="17">
        <v>3</v>
      </c>
      <c r="H98" s="4" t="s">
        <v>9</v>
      </c>
      <c r="I98" s="4">
        <f>(G98*1000/500)</f>
        <v>6</v>
      </c>
      <c r="J98" s="35">
        <v>655</v>
      </c>
      <c r="K98" s="90">
        <v>45831</v>
      </c>
      <c r="L98" s="38">
        <v>45828</v>
      </c>
      <c r="M98" s="1">
        <v>25018</v>
      </c>
      <c r="N98" s="7">
        <v>3000</v>
      </c>
      <c r="O98" s="7">
        <f t="shared" si="7"/>
        <v>0</v>
      </c>
      <c r="P98" s="6">
        <f t="shared" si="10"/>
        <v>1965</v>
      </c>
      <c r="Q98" s="6">
        <f t="shared" si="9"/>
        <v>98.25</v>
      </c>
      <c r="R98" s="13">
        <v>5</v>
      </c>
      <c r="S98" s="1" t="s">
        <v>3</v>
      </c>
      <c r="T98" s="55"/>
    </row>
    <row r="99" spans="1:20" x14ac:dyDescent="0.3">
      <c r="A99" s="89" t="s">
        <v>83</v>
      </c>
      <c r="B99" s="135" t="s">
        <v>17</v>
      </c>
      <c r="C99" s="139" t="s">
        <v>50</v>
      </c>
      <c r="D99" s="5">
        <v>555</v>
      </c>
      <c r="E99" s="1" t="s">
        <v>12</v>
      </c>
      <c r="F99" s="11">
        <v>45818</v>
      </c>
      <c r="G99" s="3">
        <v>25</v>
      </c>
      <c r="H99" s="4" t="s">
        <v>9</v>
      </c>
      <c r="I99" s="4">
        <f>(G99*1000/400)</f>
        <v>62.5</v>
      </c>
      <c r="J99" s="16">
        <v>1328</v>
      </c>
      <c r="K99" s="90">
        <v>45831</v>
      </c>
      <c r="L99" s="38">
        <v>45828</v>
      </c>
      <c r="M99" s="1">
        <v>25018</v>
      </c>
      <c r="N99" s="13">
        <v>25200</v>
      </c>
      <c r="O99" s="7">
        <f t="shared" ref="O99:O129" si="11">(N99-G99*1000)</f>
        <v>200</v>
      </c>
      <c r="P99" s="10">
        <f t="shared" si="10"/>
        <v>33465.599999999999</v>
      </c>
      <c r="Q99" s="10">
        <f t="shared" si="9"/>
        <v>1673.28</v>
      </c>
      <c r="R99" s="13">
        <v>5</v>
      </c>
      <c r="S99" s="1" t="s">
        <v>3</v>
      </c>
      <c r="T99" s="55"/>
    </row>
    <row r="100" spans="1:20" x14ac:dyDescent="0.3">
      <c r="A100" s="89" t="s">
        <v>83</v>
      </c>
      <c r="B100" s="135" t="s">
        <v>17</v>
      </c>
      <c r="C100" s="135" t="s">
        <v>48</v>
      </c>
      <c r="D100" s="75">
        <v>556</v>
      </c>
      <c r="E100" s="1" t="s">
        <v>12</v>
      </c>
      <c r="F100" s="11">
        <v>45818</v>
      </c>
      <c r="G100" s="17">
        <v>25</v>
      </c>
      <c r="H100" s="4" t="s">
        <v>9</v>
      </c>
      <c r="I100" s="4">
        <f>(G100*1000/500)</f>
        <v>50</v>
      </c>
      <c r="J100" s="6">
        <v>427</v>
      </c>
      <c r="K100" s="90">
        <v>45831</v>
      </c>
      <c r="L100" s="38">
        <v>45828</v>
      </c>
      <c r="M100" s="1">
        <v>25018</v>
      </c>
      <c r="N100" s="7">
        <v>25000</v>
      </c>
      <c r="O100" s="7">
        <f t="shared" si="11"/>
        <v>0</v>
      </c>
      <c r="P100" s="6">
        <f t="shared" si="10"/>
        <v>10675</v>
      </c>
      <c r="Q100" s="6">
        <f t="shared" si="9"/>
        <v>533.75</v>
      </c>
      <c r="R100" s="18">
        <v>5</v>
      </c>
      <c r="S100" s="1" t="s">
        <v>3</v>
      </c>
      <c r="T100" s="55"/>
    </row>
    <row r="101" spans="1:20" x14ac:dyDescent="0.3">
      <c r="A101" s="89" t="s">
        <v>83</v>
      </c>
      <c r="B101" s="135" t="s">
        <v>17</v>
      </c>
      <c r="C101" s="134" t="s">
        <v>49</v>
      </c>
      <c r="D101" s="75">
        <v>557</v>
      </c>
      <c r="E101" s="1" t="s">
        <v>12</v>
      </c>
      <c r="F101" s="11">
        <v>45818</v>
      </c>
      <c r="G101" s="17">
        <v>5</v>
      </c>
      <c r="H101" s="4" t="s">
        <v>9</v>
      </c>
      <c r="I101" s="4">
        <f>(G101*1000/400)</f>
        <v>12.5</v>
      </c>
      <c r="J101" s="6">
        <v>1328</v>
      </c>
      <c r="K101" s="90">
        <v>45831</v>
      </c>
      <c r="L101" s="38">
        <v>45828</v>
      </c>
      <c r="M101" s="1">
        <v>25018</v>
      </c>
      <c r="N101" s="7">
        <v>5200</v>
      </c>
      <c r="O101" s="7">
        <f t="shared" si="11"/>
        <v>200</v>
      </c>
      <c r="P101" s="6">
        <f t="shared" si="10"/>
        <v>6905.6</v>
      </c>
      <c r="Q101" s="6">
        <f t="shared" si="9"/>
        <v>345.28000000000003</v>
      </c>
      <c r="R101" s="18">
        <v>5</v>
      </c>
      <c r="S101" s="1" t="s">
        <v>3</v>
      </c>
      <c r="T101" s="55"/>
    </row>
    <row r="102" spans="1:20" x14ac:dyDescent="0.3">
      <c r="A102" s="89" t="s">
        <v>83</v>
      </c>
      <c r="B102" s="135" t="s">
        <v>17</v>
      </c>
      <c r="C102" s="134" t="s">
        <v>51</v>
      </c>
      <c r="D102" s="75">
        <v>558</v>
      </c>
      <c r="E102" s="1" t="s">
        <v>12</v>
      </c>
      <c r="F102" s="11">
        <v>45818</v>
      </c>
      <c r="G102" s="17">
        <v>5</v>
      </c>
      <c r="H102" s="4" t="s">
        <v>9</v>
      </c>
      <c r="I102" s="4">
        <f>(G102*1000/400)</f>
        <v>12.5</v>
      </c>
      <c r="J102" s="6">
        <v>1328</v>
      </c>
      <c r="K102" s="90">
        <v>45831</v>
      </c>
      <c r="L102" s="38">
        <v>45828</v>
      </c>
      <c r="M102" s="1">
        <v>25018</v>
      </c>
      <c r="N102" s="7">
        <v>5200</v>
      </c>
      <c r="O102" s="7">
        <f t="shared" si="11"/>
        <v>200</v>
      </c>
      <c r="P102" s="6">
        <f>(J102*G102)</f>
        <v>6640</v>
      </c>
      <c r="Q102" s="6">
        <f t="shared" si="9"/>
        <v>332</v>
      </c>
      <c r="R102" s="18">
        <v>5</v>
      </c>
      <c r="S102" s="1" t="s">
        <v>3</v>
      </c>
      <c r="T102" s="55"/>
    </row>
    <row r="103" spans="1:20" x14ac:dyDescent="0.3">
      <c r="A103" s="89" t="s">
        <v>83</v>
      </c>
      <c r="B103" s="138" t="s">
        <v>17</v>
      </c>
      <c r="C103" s="138" t="s">
        <v>47</v>
      </c>
      <c r="D103" s="30">
        <v>559</v>
      </c>
      <c r="E103" s="19" t="s">
        <v>10</v>
      </c>
      <c r="F103" s="32">
        <v>45841</v>
      </c>
      <c r="G103" s="22">
        <v>7.5</v>
      </c>
      <c r="H103" s="23" t="s">
        <v>9</v>
      </c>
      <c r="I103" s="23">
        <f>(G103*1000/500)</f>
        <v>15</v>
      </c>
      <c r="J103" s="24">
        <v>615</v>
      </c>
      <c r="K103" s="92">
        <v>45848</v>
      </c>
      <c r="L103" s="93">
        <v>45849</v>
      </c>
      <c r="M103" s="19">
        <v>25111</v>
      </c>
      <c r="N103" s="21">
        <v>7500</v>
      </c>
      <c r="O103" s="20">
        <f t="shared" si="11"/>
        <v>0</v>
      </c>
      <c r="P103" s="25">
        <f t="shared" ref="P103:P114" si="12">(N103*J103/1000)</f>
        <v>4612.5</v>
      </c>
      <c r="Q103" s="25">
        <f t="shared" si="9"/>
        <v>230.625</v>
      </c>
      <c r="R103" s="21">
        <v>5</v>
      </c>
      <c r="S103" s="1" t="s">
        <v>3</v>
      </c>
      <c r="T103" s="55"/>
    </row>
    <row r="104" spans="1:20" x14ac:dyDescent="0.3">
      <c r="A104" s="89" t="s">
        <v>83</v>
      </c>
      <c r="B104" s="138" t="s">
        <v>17</v>
      </c>
      <c r="C104" s="138" t="s">
        <v>45</v>
      </c>
      <c r="D104" s="30">
        <v>560</v>
      </c>
      <c r="E104" s="19" t="s">
        <v>10</v>
      </c>
      <c r="F104" s="32">
        <v>45841</v>
      </c>
      <c r="G104" s="22">
        <v>100</v>
      </c>
      <c r="H104" s="23" t="s">
        <v>9</v>
      </c>
      <c r="I104" s="23">
        <f>(G104*1000/500)</f>
        <v>200</v>
      </c>
      <c r="J104" s="24">
        <v>544</v>
      </c>
      <c r="K104" s="92">
        <v>45848</v>
      </c>
      <c r="L104" s="93">
        <v>45849</v>
      </c>
      <c r="M104" s="19">
        <v>25111</v>
      </c>
      <c r="N104" s="21">
        <v>100000</v>
      </c>
      <c r="O104" s="20">
        <f t="shared" si="11"/>
        <v>0</v>
      </c>
      <c r="P104" s="25">
        <f t="shared" si="12"/>
        <v>54400</v>
      </c>
      <c r="Q104" s="25">
        <f t="shared" si="9"/>
        <v>2720</v>
      </c>
      <c r="R104" s="21">
        <v>5</v>
      </c>
      <c r="S104" s="1" t="s">
        <v>3</v>
      </c>
      <c r="T104" s="55"/>
    </row>
    <row r="105" spans="1:20" x14ac:dyDescent="0.3">
      <c r="A105" s="89" t="s">
        <v>83</v>
      </c>
      <c r="B105" s="138" t="s">
        <v>17</v>
      </c>
      <c r="C105" s="138" t="s">
        <v>46</v>
      </c>
      <c r="D105" s="206">
        <v>561</v>
      </c>
      <c r="E105" s="19" t="s">
        <v>10</v>
      </c>
      <c r="F105" s="32">
        <v>45841</v>
      </c>
      <c r="G105" s="26">
        <v>1.5</v>
      </c>
      <c r="H105" s="23" t="s">
        <v>9</v>
      </c>
      <c r="I105" s="23">
        <f>(G105*1000/500)</f>
        <v>3</v>
      </c>
      <c r="J105" s="27">
        <v>655</v>
      </c>
      <c r="K105" s="92">
        <v>45848</v>
      </c>
      <c r="L105" s="93">
        <v>45849</v>
      </c>
      <c r="M105" s="19">
        <v>25111</v>
      </c>
      <c r="N105" s="20">
        <v>1500</v>
      </c>
      <c r="O105" s="20">
        <f t="shared" si="11"/>
        <v>0</v>
      </c>
      <c r="P105" s="28">
        <f t="shared" si="12"/>
        <v>982.5</v>
      </c>
      <c r="Q105" s="28">
        <f t="shared" si="9"/>
        <v>49.125</v>
      </c>
      <c r="R105" s="21">
        <v>5</v>
      </c>
      <c r="S105" s="1" t="s">
        <v>3</v>
      </c>
      <c r="T105" s="55"/>
    </row>
    <row r="106" spans="1:20" x14ac:dyDescent="0.3">
      <c r="A106" s="89" t="s">
        <v>83</v>
      </c>
      <c r="B106" s="138" t="s">
        <v>17</v>
      </c>
      <c r="C106" s="140" t="s">
        <v>50</v>
      </c>
      <c r="D106" s="30">
        <v>562</v>
      </c>
      <c r="E106" s="19" t="s">
        <v>10</v>
      </c>
      <c r="F106" s="32">
        <v>45841</v>
      </c>
      <c r="G106" s="22">
        <v>15</v>
      </c>
      <c r="H106" s="23" t="s">
        <v>9</v>
      </c>
      <c r="I106" s="23">
        <f>(G106*1000/400)</f>
        <v>37.5</v>
      </c>
      <c r="J106" s="24">
        <v>1328</v>
      </c>
      <c r="K106" s="92">
        <v>45848</v>
      </c>
      <c r="L106" s="93">
        <v>45849</v>
      </c>
      <c r="M106" s="19">
        <v>25111</v>
      </c>
      <c r="N106" s="21">
        <v>16000</v>
      </c>
      <c r="O106" s="20">
        <f t="shared" si="11"/>
        <v>1000</v>
      </c>
      <c r="P106" s="25">
        <f t="shared" si="12"/>
        <v>21248</v>
      </c>
      <c r="Q106" s="25">
        <f t="shared" si="9"/>
        <v>1062.4000000000001</v>
      </c>
      <c r="R106" s="21">
        <v>5</v>
      </c>
      <c r="S106" s="1" t="s">
        <v>3</v>
      </c>
      <c r="T106" s="55"/>
    </row>
    <row r="107" spans="1:20" x14ac:dyDescent="0.3">
      <c r="A107" s="89" t="s">
        <v>83</v>
      </c>
      <c r="B107" s="138" t="s">
        <v>17</v>
      </c>
      <c r="C107" s="138" t="s">
        <v>48</v>
      </c>
      <c r="D107" s="206">
        <v>563</v>
      </c>
      <c r="E107" s="19" t="s">
        <v>10</v>
      </c>
      <c r="F107" s="32">
        <v>45841</v>
      </c>
      <c r="G107" s="26">
        <v>12</v>
      </c>
      <c r="H107" s="23" t="s">
        <v>9</v>
      </c>
      <c r="I107" s="23">
        <f>(G107*1000/500)</f>
        <v>24</v>
      </c>
      <c r="J107" s="28">
        <v>427</v>
      </c>
      <c r="K107" s="92">
        <v>45848</v>
      </c>
      <c r="L107" s="93">
        <v>45849</v>
      </c>
      <c r="M107" s="19">
        <v>25111</v>
      </c>
      <c r="N107" s="20">
        <v>12000</v>
      </c>
      <c r="O107" s="20">
        <f t="shared" si="11"/>
        <v>0</v>
      </c>
      <c r="P107" s="28">
        <f t="shared" si="12"/>
        <v>5124</v>
      </c>
      <c r="Q107" s="28">
        <f t="shared" si="9"/>
        <v>256.2</v>
      </c>
      <c r="R107" s="29">
        <v>5</v>
      </c>
      <c r="S107" s="19" t="s">
        <v>3</v>
      </c>
      <c r="T107" s="55"/>
    </row>
    <row r="108" spans="1:20" x14ac:dyDescent="0.3">
      <c r="A108" s="89" t="s">
        <v>83</v>
      </c>
      <c r="B108" s="138" t="s">
        <v>17</v>
      </c>
      <c r="C108" s="136" t="s">
        <v>49</v>
      </c>
      <c r="D108" s="206">
        <v>564</v>
      </c>
      <c r="E108" s="19" t="s">
        <v>10</v>
      </c>
      <c r="F108" s="32">
        <v>45841</v>
      </c>
      <c r="G108" s="26">
        <v>3</v>
      </c>
      <c r="H108" s="23" t="s">
        <v>9</v>
      </c>
      <c r="I108" s="23">
        <f>(G108*1000/400)</f>
        <v>7.5</v>
      </c>
      <c r="J108" s="28">
        <v>1328</v>
      </c>
      <c r="K108" s="92">
        <v>45848</v>
      </c>
      <c r="L108" s="93">
        <v>45849</v>
      </c>
      <c r="M108" s="19">
        <v>25111</v>
      </c>
      <c r="N108" s="20">
        <v>3200</v>
      </c>
      <c r="O108" s="20">
        <f t="shared" si="11"/>
        <v>200</v>
      </c>
      <c r="P108" s="28">
        <f t="shared" si="12"/>
        <v>4249.6000000000004</v>
      </c>
      <c r="Q108" s="28">
        <f t="shared" si="9"/>
        <v>212.48000000000002</v>
      </c>
      <c r="R108" s="29">
        <v>5</v>
      </c>
      <c r="S108" s="19" t="s">
        <v>3</v>
      </c>
      <c r="T108" s="55"/>
    </row>
    <row r="109" spans="1:20" x14ac:dyDescent="0.3">
      <c r="A109" s="89" t="s">
        <v>83</v>
      </c>
      <c r="B109" s="135" t="s">
        <v>17</v>
      </c>
      <c r="C109" s="135" t="s">
        <v>47</v>
      </c>
      <c r="D109" s="5">
        <v>566</v>
      </c>
      <c r="E109" s="1" t="s">
        <v>18</v>
      </c>
      <c r="F109" s="11">
        <v>45870</v>
      </c>
      <c r="G109" s="3">
        <v>14</v>
      </c>
      <c r="H109" s="4" t="s">
        <v>9</v>
      </c>
      <c r="I109" s="4">
        <f>(G109*1000/500)</f>
        <v>28</v>
      </c>
      <c r="J109" s="16">
        <v>615</v>
      </c>
      <c r="K109" s="90">
        <v>45875</v>
      </c>
      <c r="L109" s="38">
        <v>45877</v>
      </c>
      <c r="M109" s="1">
        <v>25260</v>
      </c>
      <c r="N109" s="13">
        <v>14000</v>
      </c>
      <c r="O109" s="7">
        <f t="shared" si="11"/>
        <v>0</v>
      </c>
      <c r="P109" s="10">
        <f t="shared" si="12"/>
        <v>8610</v>
      </c>
      <c r="Q109" s="10">
        <f t="shared" si="9"/>
        <v>430.5</v>
      </c>
      <c r="R109" s="13">
        <v>5</v>
      </c>
      <c r="S109" s="1" t="s">
        <v>3</v>
      </c>
      <c r="T109" s="55"/>
    </row>
    <row r="110" spans="1:20" x14ac:dyDescent="0.3">
      <c r="A110" s="89" t="s">
        <v>83</v>
      </c>
      <c r="B110" s="135" t="s">
        <v>17</v>
      </c>
      <c r="C110" s="135" t="s">
        <v>45</v>
      </c>
      <c r="D110" s="5">
        <v>567</v>
      </c>
      <c r="E110" s="1" t="s">
        <v>18</v>
      </c>
      <c r="F110" s="11">
        <v>45870</v>
      </c>
      <c r="G110" s="3">
        <v>220</v>
      </c>
      <c r="H110" s="4" t="s">
        <v>9</v>
      </c>
      <c r="I110" s="4">
        <f>(G110*1000/500)</f>
        <v>440</v>
      </c>
      <c r="J110" s="16">
        <v>544</v>
      </c>
      <c r="K110" s="90">
        <v>45875</v>
      </c>
      <c r="L110" s="38">
        <v>45877</v>
      </c>
      <c r="M110" s="1">
        <v>25260</v>
      </c>
      <c r="N110" s="13">
        <v>220000</v>
      </c>
      <c r="O110" s="7">
        <f t="shared" si="11"/>
        <v>0</v>
      </c>
      <c r="P110" s="10">
        <f t="shared" si="12"/>
        <v>119680</v>
      </c>
      <c r="Q110" s="10">
        <f t="shared" si="9"/>
        <v>5984</v>
      </c>
      <c r="R110" s="13">
        <v>5</v>
      </c>
      <c r="S110" s="1" t="s">
        <v>3</v>
      </c>
      <c r="T110" s="55"/>
    </row>
    <row r="111" spans="1:20" x14ac:dyDescent="0.3">
      <c r="A111" s="89" t="s">
        <v>83</v>
      </c>
      <c r="B111" s="135" t="s">
        <v>17</v>
      </c>
      <c r="C111" s="135" t="s">
        <v>46</v>
      </c>
      <c r="D111" s="75">
        <v>568</v>
      </c>
      <c r="E111" s="1" t="s">
        <v>18</v>
      </c>
      <c r="F111" s="11">
        <v>45870</v>
      </c>
      <c r="G111" s="17">
        <v>2.5</v>
      </c>
      <c r="H111" s="4" t="s">
        <v>9</v>
      </c>
      <c r="I111" s="4">
        <f>(G111*1000/500)</f>
        <v>5</v>
      </c>
      <c r="J111" s="35">
        <v>655</v>
      </c>
      <c r="K111" s="90">
        <v>45875</v>
      </c>
      <c r="L111" s="38">
        <v>45877</v>
      </c>
      <c r="M111" s="1">
        <v>25260</v>
      </c>
      <c r="N111" s="7">
        <v>2500</v>
      </c>
      <c r="O111" s="7">
        <f t="shared" si="11"/>
        <v>0</v>
      </c>
      <c r="P111" s="6">
        <f t="shared" si="12"/>
        <v>1637.5</v>
      </c>
      <c r="Q111" s="6">
        <f t="shared" si="9"/>
        <v>81.875</v>
      </c>
      <c r="R111" s="13">
        <v>5</v>
      </c>
      <c r="S111" s="1" t="s">
        <v>3</v>
      </c>
      <c r="T111" s="55"/>
    </row>
    <row r="112" spans="1:20" x14ac:dyDescent="0.3">
      <c r="A112" s="89" t="s">
        <v>83</v>
      </c>
      <c r="B112" s="135" t="s">
        <v>17</v>
      </c>
      <c r="C112" s="139" t="s">
        <v>50</v>
      </c>
      <c r="D112" s="5">
        <v>569</v>
      </c>
      <c r="E112" s="1" t="s">
        <v>18</v>
      </c>
      <c r="F112" s="11">
        <v>45870</v>
      </c>
      <c r="G112" s="3">
        <v>30</v>
      </c>
      <c r="H112" s="4" t="s">
        <v>9</v>
      </c>
      <c r="I112" s="4">
        <f>(G112*1000/400)</f>
        <v>75</v>
      </c>
      <c r="J112" s="16">
        <v>1328</v>
      </c>
      <c r="K112" s="90">
        <v>45875</v>
      </c>
      <c r="L112" s="38">
        <v>45877</v>
      </c>
      <c r="M112" s="1">
        <v>25260</v>
      </c>
      <c r="N112" s="13">
        <v>30000</v>
      </c>
      <c r="O112" s="7">
        <f t="shared" si="11"/>
        <v>0</v>
      </c>
      <c r="P112" s="10">
        <f t="shared" si="12"/>
        <v>39840</v>
      </c>
      <c r="Q112" s="10">
        <f t="shared" si="9"/>
        <v>1992</v>
      </c>
      <c r="R112" s="13">
        <v>5</v>
      </c>
      <c r="S112" s="1" t="s">
        <v>3</v>
      </c>
      <c r="T112" s="55"/>
    </row>
    <row r="113" spans="1:20" x14ac:dyDescent="0.3">
      <c r="A113" s="89" t="s">
        <v>83</v>
      </c>
      <c r="B113" s="135" t="s">
        <v>17</v>
      </c>
      <c r="C113" s="135" t="s">
        <v>48</v>
      </c>
      <c r="D113" s="75">
        <v>570</v>
      </c>
      <c r="E113" s="1" t="s">
        <v>18</v>
      </c>
      <c r="F113" s="11">
        <v>45870</v>
      </c>
      <c r="G113" s="17">
        <v>30</v>
      </c>
      <c r="H113" s="4" t="s">
        <v>9</v>
      </c>
      <c r="I113" s="4">
        <f>(G113*1000/500)</f>
        <v>60</v>
      </c>
      <c r="J113" s="6">
        <v>427</v>
      </c>
      <c r="K113" s="90">
        <v>45875</v>
      </c>
      <c r="L113" s="38">
        <v>45877</v>
      </c>
      <c r="M113" s="1">
        <v>25260</v>
      </c>
      <c r="N113" s="7">
        <v>30000</v>
      </c>
      <c r="O113" s="7">
        <f t="shared" si="11"/>
        <v>0</v>
      </c>
      <c r="P113" s="6">
        <f t="shared" si="12"/>
        <v>12810</v>
      </c>
      <c r="Q113" s="6">
        <f t="shared" si="9"/>
        <v>640.5</v>
      </c>
      <c r="R113" s="18">
        <v>5</v>
      </c>
      <c r="S113" s="1" t="s">
        <v>3</v>
      </c>
      <c r="T113" s="55"/>
    </row>
    <row r="114" spans="1:20" x14ac:dyDescent="0.3">
      <c r="A114" s="89" t="s">
        <v>83</v>
      </c>
      <c r="B114" s="135" t="s">
        <v>17</v>
      </c>
      <c r="C114" s="134" t="s">
        <v>49</v>
      </c>
      <c r="D114" s="75">
        <v>571</v>
      </c>
      <c r="E114" s="1" t="s">
        <v>18</v>
      </c>
      <c r="F114" s="11">
        <v>45870</v>
      </c>
      <c r="G114" s="17">
        <v>18</v>
      </c>
      <c r="H114" s="4" t="s">
        <v>9</v>
      </c>
      <c r="I114" s="4">
        <f>(G114*1000/400)</f>
        <v>45</v>
      </c>
      <c r="J114" s="6">
        <v>1328</v>
      </c>
      <c r="K114" s="90">
        <v>45875</v>
      </c>
      <c r="L114" s="38">
        <v>45877</v>
      </c>
      <c r="M114" s="1">
        <v>25260</v>
      </c>
      <c r="N114" s="7">
        <v>18000</v>
      </c>
      <c r="O114" s="7">
        <f t="shared" si="11"/>
        <v>0</v>
      </c>
      <c r="P114" s="6">
        <f t="shared" si="12"/>
        <v>23904</v>
      </c>
      <c r="Q114" s="6">
        <f t="shared" si="9"/>
        <v>1195.2</v>
      </c>
      <c r="R114" s="18">
        <v>5</v>
      </c>
      <c r="S114" s="1" t="s">
        <v>3</v>
      </c>
      <c r="T114" s="55"/>
    </row>
    <row r="115" spans="1:20" x14ac:dyDescent="0.3">
      <c r="A115" s="89" t="s">
        <v>83</v>
      </c>
      <c r="B115" s="135" t="s">
        <v>17</v>
      </c>
      <c r="C115" s="134" t="s">
        <v>51</v>
      </c>
      <c r="D115" s="75">
        <v>572</v>
      </c>
      <c r="E115" s="1" t="s">
        <v>18</v>
      </c>
      <c r="F115" s="11">
        <v>45870</v>
      </c>
      <c r="G115" s="17">
        <v>8</v>
      </c>
      <c r="H115" s="4" t="s">
        <v>9</v>
      </c>
      <c r="I115" s="4">
        <f>(G115*1000/400)</f>
        <v>20</v>
      </c>
      <c r="J115" s="6">
        <v>1328</v>
      </c>
      <c r="K115" s="90">
        <v>45875</v>
      </c>
      <c r="L115" s="38">
        <v>45877</v>
      </c>
      <c r="M115" s="1">
        <v>25260</v>
      </c>
      <c r="N115" s="7">
        <v>8000</v>
      </c>
      <c r="O115" s="7">
        <f t="shared" si="11"/>
        <v>0</v>
      </c>
      <c r="P115" s="6">
        <f>(J115*G115)</f>
        <v>10624</v>
      </c>
      <c r="Q115" s="6">
        <f t="shared" si="9"/>
        <v>531.20000000000005</v>
      </c>
      <c r="R115" s="18">
        <v>5</v>
      </c>
      <c r="S115" s="1" t="s">
        <v>3</v>
      </c>
      <c r="T115" s="55"/>
    </row>
    <row r="116" spans="1:20" x14ac:dyDescent="0.3">
      <c r="A116" s="89" t="s">
        <v>83</v>
      </c>
      <c r="B116" s="135" t="s">
        <v>17</v>
      </c>
      <c r="C116" s="135" t="s">
        <v>47</v>
      </c>
      <c r="D116" s="5">
        <v>573</v>
      </c>
      <c r="E116" s="1" t="s">
        <v>18</v>
      </c>
      <c r="F116" s="11">
        <v>45889</v>
      </c>
      <c r="G116" s="3">
        <v>7.5</v>
      </c>
      <c r="H116" s="4" t="s">
        <v>9</v>
      </c>
      <c r="I116" s="4">
        <f>(G116*1000/500)</f>
        <v>15</v>
      </c>
      <c r="J116" s="16">
        <v>615</v>
      </c>
      <c r="K116" s="90">
        <v>45894</v>
      </c>
      <c r="L116" s="38">
        <v>45891</v>
      </c>
      <c r="M116" s="1">
        <v>25334</v>
      </c>
      <c r="N116" s="13">
        <v>7500</v>
      </c>
      <c r="O116" s="7">
        <f t="shared" si="11"/>
        <v>0</v>
      </c>
      <c r="P116" s="10">
        <f t="shared" ref="P116:P121" si="13">(N116*J116/1000)</f>
        <v>4612.5</v>
      </c>
      <c r="Q116" s="10">
        <f t="shared" si="9"/>
        <v>230.625</v>
      </c>
      <c r="R116" s="13">
        <v>5</v>
      </c>
      <c r="S116" s="91" t="s">
        <v>3</v>
      </c>
      <c r="T116" s="55"/>
    </row>
    <row r="117" spans="1:20" x14ac:dyDescent="0.3">
      <c r="A117" s="89" t="s">
        <v>83</v>
      </c>
      <c r="B117" s="135" t="s">
        <v>17</v>
      </c>
      <c r="C117" s="135" t="s">
        <v>45</v>
      </c>
      <c r="D117" s="5">
        <v>574</v>
      </c>
      <c r="E117" s="1" t="s">
        <v>18</v>
      </c>
      <c r="F117" s="11">
        <v>45889</v>
      </c>
      <c r="G117" s="3">
        <v>60</v>
      </c>
      <c r="H117" s="4" t="s">
        <v>9</v>
      </c>
      <c r="I117" s="4">
        <f>(G117*1000/500)</f>
        <v>120</v>
      </c>
      <c r="J117" s="16">
        <v>544</v>
      </c>
      <c r="K117" s="90">
        <v>45894</v>
      </c>
      <c r="L117" s="38">
        <v>45891</v>
      </c>
      <c r="M117" s="1">
        <v>25334</v>
      </c>
      <c r="N117" s="13">
        <v>69500</v>
      </c>
      <c r="O117" s="7">
        <f t="shared" si="11"/>
        <v>9500</v>
      </c>
      <c r="P117" s="10">
        <f t="shared" si="13"/>
        <v>37808</v>
      </c>
      <c r="Q117" s="10">
        <f t="shared" si="9"/>
        <v>1890.4</v>
      </c>
      <c r="R117" s="13">
        <v>5</v>
      </c>
      <c r="S117" s="91" t="s">
        <v>3</v>
      </c>
      <c r="T117" s="55"/>
    </row>
    <row r="118" spans="1:20" x14ac:dyDescent="0.3">
      <c r="A118" s="89" t="s">
        <v>83</v>
      </c>
      <c r="B118" s="135" t="s">
        <v>17</v>
      </c>
      <c r="C118" s="135" t="s">
        <v>46</v>
      </c>
      <c r="D118" s="75">
        <v>575</v>
      </c>
      <c r="E118" s="1" t="s">
        <v>18</v>
      </c>
      <c r="F118" s="11">
        <v>45889</v>
      </c>
      <c r="G118" s="17">
        <v>1.2</v>
      </c>
      <c r="H118" s="4" t="s">
        <v>9</v>
      </c>
      <c r="I118" s="4">
        <f>(G118*1000/500)</f>
        <v>2.4</v>
      </c>
      <c r="J118" s="35">
        <v>655</v>
      </c>
      <c r="K118" s="90">
        <v>45894</v>
      </c>
      <c r="L118" s="38">
        <v>45891</v>
      </c>
      <c r="M118" s="1">
        <v>25334</v>
      </c>
      <c r="N118" s="7">
        <v>1500</v>
      </c>
      <c r="O118" s="7">
        <f t="shared" si="11"/>
        <v>300</v>
      </c>
      <c r="P118" s="6">
        <f t="shared" si="13"/>
        <v>982.5</v>
      </c>
      <c r="Q118" s="6">
        <f t="shared" si="9"/>
        <v>49.125</v>
      </c>
      <c r="R118" s="13">
        <v>5</v>
      </c>
      <c r="S118" s="91" t="s">
        <v>3</v>
      </c>
      <c r="T118" s="55"/>
    </row>
    <row r="119" spans="1:20" x14ac:dyDescent="0.3">
      <c r="A119" s="89" t="s">
        <v>83</v>
      </c>
      <c r="B119" s="135" t="s">
        <v>17</v>
      </c>
      <c r="C119" s="139" t="s">
        <v>50</v>
      </c>
      <c r="D119" s="5">
        <v>576</v>
      </c>
      <c r="E119" s="1" t="s">
        <v>18</v>
      </c>
      <c r="F119" s="11">
        <v>45889</v>
      </c>
      <c r="G119" s="3">
        <v>15</v>
      </c>
      <c r="H119" s="4" t="s">
        <v>9</v>
      </c>
      <c r="I119" s="4">
        <f>(G119*1000/400)</f>
        <v>37.5</v>
      </c>
      <c r="J119" s="16">
        <v>1328</v>
      </c>
      <c r="K119" s="90">
        <v>45894</v>
      </c>
      <c r="L119" s="38">
        <v>45891</v>
      </c>
      <c r="M119" s="1">
        <v>25334</v>
      </c>
      <c r="N119" s="13">
        <v>15200</v>
      </c>
      <c r="O119" s="7">
        <f t="shared" si="11"/>
        <v>200</v>
      </c>
      <c r="P119" s="10">
        <f t="shared" si="13"/>
        <v>20185.599999999999</v>
      </c>
      <c r="Q119" s="10">
        <f t="shared" si="9"/>
        <v>1009.28</v>
      </c>
      <c r="R119" s="13">
        <v>5</v>
      </c>
      <c r="S119" s="91" t="s">
        <v>3</v>
      </c>
      <c r="T119" s="55"/>
    </row>
    <row r="120" spans="1:20" x14ac:dyDescent="0.3">
      <c r="A120" s="89" t="s">
        <v>83</v>
      </c>
      <c r="B120" s="135" t="s">
        <v>17</v>
      </c>
      <c r="C120" s="135" t="s">
        <v>48</v>
      </c>
      <c r="D120" s="75">
        <v>577</v>
      </c>
      <c r="E120" s="1" t="s">
        <v>18</v>
      </c>
      <c r="F120" s="11">
        <v>45889</v>
      </c>
      <c r="G120" s="17">
        <v>12</v>
      </c>
      <c r="H120" s="4" t="s">
        <v>9</v>
      </c>
      <c r="I120" s="4">
        <f>(G120*1000/500)</f>
        <v>24</v>
      </c>
      <c r="J120" s="6">
        <v>427</v>
      </c>
      <c r="K120" s="90">
        <v>45894</v>
      </c>
      <c r="L120" s="38">
        <v>45891</v>
      </c>
      <c r="M120" s="1">
        <v>25334</v>
      </c>
      <c r="N120" s="7">
        <v>12000</v>
      </c>
      <c r="O120" s="7">
        <f t="shared" si="11"/>
        <v>0</v>
      </c>
      <c r="P120" s="6">
        <f t="shared" si="13"/>
        <v>5124</v>
      </c>
      <c r="Q120" s="6">
        <f t="shared" si="9"/>
        <v>256.2</v>
      </c>
      <c r="R120" s="18">
        <v>5</v>
      </c>
      <c r="S120" s="91" t="s">
        <v>3</v>
      </c>
      <c r="T120" s="55"/>
    </row>
    <row r="121" spans="1:20" x14ac:dyDescent="0.3">
      <c r="A121" s="89" t="s">
        <v>83</v>
      </c>
      <c r="B121" s="135" t="s">
        <v>17</v>
      </c>
      <c r="C121" s="134" t="s">
        <v>49</v>
      </c>
      <c r="D121" s="75">
        <v>578</v>
      </c>
      <c r="E121" s="1" t="s">
        <v>18</v>
      </c>
      <c r="F121" s="11">
        <v>45889</v>
      </c>
      <c r="G121" s="17">
        <v>5</v>
      </c>
      <c r="H121" s="4" t="s">
        <v>9</v>
      </c>
      <c r="I121" s="4">
        <f>(G121*1000/400)</f>
        <v>12.5</v>
      </c>
      <c r="J121" s="6">
        <v>1328</v>
      </c>
      <c r="K121" s="90">
        <v>45894</v>
      </c>
      <c r="L121" s="38">
        <v>45891</v>
      </c>
      <c r="M121" s="1">
        <v>25334</v>
      </c>
      <c r="N121" s="7">
        <v>5200</v>
      </c>
      <c r="O121" s="7">
        <f t="shared" si="11"/>
        <v>200</v>
      </c>
      <c r="P121" s="6">
        <f t="shared" si="13"/>
        <v>6905.6</v>
      </c>
      <c r="Q121" s="6">
        <f t="shared" si="9"/>
        <v>345.28000000000003</v>
      </c>
      <c r="R121" s="18">
        <v>5</v>
      </c>
      <c r="S121" s="91" t="s">
        <v>3</v>
      </c>
      <c r="T121" s="55"/>
    </row>
    <row r="122" spans="1:20" x14ac:dyDescent="0.3">
      <c r="A122" s="89" t="s">
        <v>83</v>
      </c>
      <c r="B122" s="135" t="s">
        <v>17</v>
      </c>
      <c r="C122" s="134" t="s">
        <v>51</v>
      </c>
      <c r="D122" s="75">
        <v>579</v>
      </c>
      <c r="E122" s="1" t="s">
        <v>18</v>
      </c>
      <c r="F122" s="11">
        <v>45889</v>
      </c>
      <c r="G122" s="17">
        <v>3</v>
      </c>
      <c r="H122" s="4" t="s">
        <v>9</v>
      </c>
      <c r="I122" s="4">
        <f>(G122*1000/400)</f>
        <v>7.5</v>
      </c>
      <c r="J122" s="6">
        <v>1328</v>
      </c>
      <c r="K122" s="90">
        <v>45894</v>
      </c>
      <c r="L122" s="38">
        <v>45891</v>
      </c>
      <c r="M122" s="1">
        <v>25334</v>
      </c>
      <c r="N122" s="7">
        <v>3200</v>
      </c>
      <c r="O122" s="7">
        <f t="shared" si="11"/>
        <v>200</v>
      </c>
      <c r="P122" s="6">
        <f>(J122*G122)</f>
        <v>3984</v>
      </c>
      <c r="Q122" s="6">
        <f t="shared" si="9"/>
        <v>199.20000000000002</v>
      </c>
      <c r="R122" s="18">
        <v>5</v>
      </c>
      <c r="S122" s="91" t="s">
        <v>3</v>
      </c>
      <c r="T122" s="55"/>
    </row>
    <row r="123" spans="1:20" x14ac:dyDescent="0.3">
      <c r="A123" s="89" t="s">
        <v>83</v>
      </c>
      <c r="B123" s="138" t="s">
        <v>17</v>
      </c>
      <c r="C123" s="138" t="s">
        <v>47</v>
      </c>
      <c r="D123" s="30">
        <v>580</v>
      </c>
      <c r="E123" s="19" t="s">
        <v>18</v>
      </c>
      <c r="F123" s="32">
        <v>45913</v>
      </c>
      <c r="G123" s="22">
        <v>14</v>
      </c>
      <c r="H123" s="23" t="s">
        <v>9</v>
      </c>
      <c r="I123" s="23">
        <f>(G123*1000/500)</f>
        <v>28</v>
      </c>
      <c r="J123" s="24">
        <v>615</v>
      </c>
      <c r="K123" s="92">
        <v>45919</v>
      </c>
      <c r="L123" s="93">
        <v>45919</v>
      </c>
      <c r="M123" s="19">
        <v>25496</v>
      </c>
      <c r="N123" s="21">
        <v>14000</v>
      </c>
      <c r="O123" s="20">
        <f t="shared" si="11"/>
        <v>0</v>
      </c>
      <c r="P123" s="25">
        <f t="shared" ref="P123:P128" si="14">(N123*J123/1000)</f>
        <v>8610</v>
      </c>
      <c r="Q123" s="25">
        <f t="shared" si="9"/>
        <v>430.5</v>
      </c>
      <c r="R123" s="21">
        <v>5</v>
      </c>
      <c r="S123" s="91"/>
      <c r="T123" s="55"/>
    </row>
    <row r="124" spans="1:20" x14ac:dyDescent="0.3">
      <c r="A124" s="89" t="s">
        <v>83</v>
      </c>
      <c r="B124" s="138" t="s">
        <v>17</v>
      </c>
      <c r="C124" s="138" t="s">
        <v>45</v>
      </c>
      <c r="D124" s="30">
        <v>581</v>
      </c>
      <c r="E124" s="19" t="s">
        <v>18</v>
      </c>
      <c r="F124" s="32">
        <v>45913</v>
      </c>
      <c r="G124" s="22">
        <v>120</v>
      </c>
      <c r="H124" s="23" t="s">
        <v>9</v>
      </c>
      <c r="I124" s="23">
        <f>(G124*1000/500)</f>
        <v>240</v>
      </c>
      <c r="J124" s="24">
        <v>544</v>
      </c>
      <c r="K124" s="92">
        <v>45919</v>
      </c>
      <c r="L124" s="93">
        <v>45919</v>
      </c>
      <c r="M124" s="19">
        <v>25496</v>
      </c>
      <c r="N124" s="21">
        <v>120000</v>
      </c>
      <c r="O124" s="20">
        <f t="shared" si="11"/>
        <v>0</v>
      </c>
      <c r="P124" s="25">
        <f t="shared" si="14"/>
        <v>65280</v>
      </c>
      <c r="Q124" s="25">
        <f t="shared" ref="Q124:Q136" si="15">(P124*0.05)</f>
        <v>3264</v>
      </c>
      <c r="R124" s="21">
        <v>5</v>
      </c>
      <c r="S124" s="1"/>
      <c r="T124" s="55"/>
    </row>
    <row r="125" spans="1:20" x14ac:dyDescent="0.3">
      <c r="A125" s="89" t="s">
        <v>83</v>
      </c>
      <c r="B125" s="138" t="s">
        <v>17</v>
      </c>
      <c r="C125" s="138" t="s">
        <v>46</v>
      </c>
      <c r="D125" s="206">
        <v>582</v>
      </c>
      <c r="E125" s="19" t="s">
        <v>18</v>
      </c>
      <c r="F125" s="32">
        <v>45913</v>
      </c>
      <c r="G125" s="26">
        <v>4</v>
      </c>
      <c r="H125" s="23" t="s">
        <v>9</v>
      </c>
      <c r="I125" s="23">
        <f>(G125*1000/500)</f>
        <v>8</v>
      </c>
      <c r="J125" s="27">
        <v>655</v>
      </c>
      <c r="K125" s="92">
        <v>45919</v>
      </c>
      <c r="L125" s="93">
        <v>45919</v>
      </c>
      <c r="M125" s="19">
        <v>25496</v>
      </c>
      <c r="N125" s="20">
        <v>4000</v>
      </c>
      <c r="O125" s="20">
        <f t="shared" si="11"/>
        <v>0</v>
      </c>
      <c r="P125" s="28">
        <f t="shared" si="14"/>
        <v>2620</v>
      </c>
      <c r="Q125" s="28">
        <f t="shared" si="15"/>
        <v>131</v>
      </c>
      <c r="R125" s="21">
        <v>5</v>
      </c>
      <c r="S125" s="1"/>
      <c r="T125" s="55"/>
    </row>
    <row r="126" spans="1:20" x14ac:dyDescent="0.3">
      <c r="A126" s="89" t="s">
        <v>83</v>
      </c>
      <c r="B126" s="138" t="s">
        <v>17</v>
      </c>
      <c r="C126" s="136" t="s">
        <v>50</v>
      </c>
      <c r="D126" s="30">
        <v>583</v>
      </c>
      <c r="E126" s="19" t="s">
        <v>18</v>
      </c>
      <c r="F126" s="32">
        <v>45913</v>
      </c>
      <c r="G126" s="22">
        <v>30</v>
      </c>
      <c r="H126" s="23" t="s">
        <v>9</v>
      </c>
      <c r="I126" s="23">
        <f>(G126*1000/400)</f>
        <v>75</v>
      </c>
      <c r="J126" s="24">
        <v>1328</v>
      </c>
      <c r="K126" s="92">
        <v>45919</v>
      </c>
      <c r="L126" s="93">
        <v>45919</v>
      </c>
      <c r="M126" s="19">
        <v>25496</v>
      </c>
      <c r="N126" s="21">
        <v>30000</v>
      </c>
      <c r="O126" s="20">
        <f t="shared" si="11"/>
        <v>0</v>
      </c>
      <c r="P126" s="25">
        <f t="shared" si="14"/>
        <v>39840</v>
      </c>
      <c r="Q126" s="25">
        <f t="shared" si="15"/>
        <v>1992</v>
      </c>
      <c r="R126" s="21">
        <v>5</v>
      </c>
      <c r="S126" s="1"/>
      <c r="T126" s="55"/>
    </row>
    <row r="127" spans="1:20" x14ac:dyDescent="0.3">
      <c r="A127" s="89" t="s">
        <v>83</v>
      </c>
      <c r="B127" s="138" t="s">
        <v>17</v>
      </c>
      <c r="C127" s="138" t="s">
        <v>48</v>
      </c>
      <c r="D127" s="206">
        <v>584</v>
      </c>
      <c r="E127" s="19" t="s">
        <v>18</v>
      </c>
      <c r="F127" s="32">
        <v>45913</v>
      </c>
      <c r="G127" s="26">
        <v>30</v>
      </c>
      <c r="H127" s="23" t="s">
        <v>9</v>
      </c>
      <c r="I127" s="23">
        <f>(G127*1000/500)</f>
        <v>60</v>
      </c>
      <c r="J127" s="28">
        <v>427</v>
      </c>
      <c r="K127" s="92">
        <v>45919</v>
      </c>
      <c r="L127" s="93">
        <v>45919</v>
      </c>
      <c r="M127" s="19">
        <v>25496</v>
      </c>
      <c r="N127" s="20">
        <v>30000</v>
      </c>
      <c r="O127" s="20">
        <f t="shared" si="11"/>
        <v>0</v>
      </c>
      <c r="P127" s="28">
        <f t="shared" si="14"/>
        <v>12810</v>
      </c>
      <c r="Q127" s="28">
        <f t="shared" si="15"/>
        <v>640.5</v>
      </c>
      <c r="R127" s="29">
        <v>5</v>
      </c>
      <c r="S127" s="1"/>
      <c r="T127" s="55"/>
    </row>
    <row r="128" spans="1:20" x14ac:dyDescent="0.3">
      <c r="A128" s="89" t="s">
        <v>83</v>
      </c>
      <c r="B128" s="138" t="s">
        <v>17</v>
      </c>
      <c r="C128" s="136" t="s">
        <v>49</v>
      </c>
      <c r="D128" s="206">
        <v>585</v>
      </c>
      <c r="E128" s="19" t="s">
        <v>18</v>
      </c>
      <c r="F128" s="32">
        <v>45913</v>
      </c>
      <c r="G128" s="26">
        <v>10</v>
      </c>
      <c r="H128" s="23" t="s">
        <v>9</v>
      </c>
      <c r="I128" s="23">
        <f>(G128*1000/400)</f>
        <v>25</v>
      </c>
      <c r="J128" s="28">
        <v>1328</v>
      </c>
      <c r="K128" s="92">
        <v>45919</v>
      </c>
      <c r="L128" s="93">
        <v>45919</v>
      </c>
      <c r="M128" s="19">
        <v>25496</v>
      </c>
      <c r="N128" s="20">
        <v>10000</v>
      </c>
      <c r="O128" s="20">
        <f t="shared" si="11"/>
        <v>0</v>
      </c>
      <c r="P128" s="28">
        <f t="shared" si="14"/>
        <v>13280</v>
      </c>
      <c r="Q128" s="28">
        <f t="shared" si="15"/>
        <v>664</v>
      </c>
      <c r="R128" s="29">
        <v>5</v>
      </c>
      <c r="S128" s="1"/>
      <c r="T128" s="55"/>
    </row>
    <row r="129" spans="1:20" x14ac:dyDescent="0.3">
      <c r="A129" s="89" t="s">
        <v>83</v>
      </c>
      <c r="B129" s="138" t="s">
        <v>17</v>
      </c>
      <c r="C129" s="136" t="s">
        <v>51</v>
      </c>
      <c r="D129" s="206">
        <v>586</v>
      </c>
      <c r="E129" s="19" t="s">
        <v>18</v>
      </c>
      <c r="F129" s="32">
        <v>45913</v>
      </c>
      <c r="G129" s="26">
        <v>5</v>
      </c>
      <c r="H129" s="23" t="s">
        <v>9</v>
      </c>
      <c r="I129" s="23">
        <f>(G129*1000/400)</f>
        <v>12.5</v>
      </c>
      <c r="J129" s="28">
        <v>1328</v>
      </c>
      <c r="K129" s="92">
        <v>45919</v>
      </c>
      <c r="L129" s="93">
        <v>45919</v>
      </c>
      <c r="M129" s="19">
        <v>25496</v>
      </c>
      <c r="N129" s="20">
        <v>5200</v>
      </c>
      <c r="O129" s="20">
        <f t="shared" si="11"/>
        <v>200</v>
      </c>
      <c r="P129" s="28">
        <f t="shared" ref="P129:P136" si="16">(J129*G129)</f>
        <v>6640</v>
      </c>
      <c r="Q129" s="28">
        <f t="shared" si="15"/>
        <v>332</v>
      </c>
      <c r="R129" s="29">
        <v>5</v>
      </c>
      <c r="S129" s="1"/>
      <c r="T129" s="79"/>
    </row>
    <row r="130" spans="1:20" x14ac:dyDescent="0.3">
      <c r="A130" s="89" t="s">
        <v>83</v>
      </c>
      <c r="B130" s="135" t="s">
        <v>17</v>
      </c>
      <c r="C130" s="135" t="s">
        <v>47</v>
      </c>
      <c r="D130" s="5">
        <v>587</v>
      </c>
      <c r="E130" s="1" t="s">
        <v>10</v>
      </c>
      <c r="F130" s="11">
        <v>45937</v>
      </c>
      <c r="G130" s="3">
        <v>10</v>
      </c>
      <c r="H130" s="4" t="s">
        <v>9</v>
      </c>
      <c r="I130" s="4">
        <f>(G130*1000/500)</f>
        <v>20</v>
      </c>
      <c r="J130" s="16">
        <v>615</v>
      </c>
      <c r="K130" s="90">
        <v>45943</v>
      </c>
      <c r="L130" s="38">
        <v>45940</v>
      </c>
      <c r="M130" s="1">
        <v>25630</v>
      </c>
      <c r="N130" s="7">
        <v>10000</v>
      </c>
      <c r="O130" s="7"/>
      <c r="P130" s="6">
        <f t="shared" si="16"/>
        <v>6150</v>
      </c>
      <c r="Q130" s="10">
        <f t="shared" si="15"/>
        <v>307.5</v>
      </c>
      <c r="R130" s="13">
        <v>5</v>
      </c>
      <c r="S130" s="91"/>
    </row>
    <row r="131" spans="1:20" x14ac:dyDescent="0.3">
      <c r="A131" s="89" t="s">
        <v>83</v>
      </c>
      <c r="B131" s="135" t="s">
        <v>17</v>
      </c>
      <c r="C131" s="135" t="s">
        <v>45</v>
      </c>
      <c r="D131" s="5">
        <v>588</v>
      </c>
      <c r="E131" s="1" t="s">
        <v>10</v>
      </c>
      <c r="F131" s="11">
        <v>45937</v>
      </c>
      <c r="G131" s="3">
        <v>100</v>
      </c>
      <c r="H131" s="4" t="s">
        <v>9</v>
      </c>
      <c r="I131" s="4">
        <f>(G131*1000/500)</f>
        <v>200</v>
      </c>
      <c r="J131" s="16">
        <v>544</v>
      </c>
      <c r="K131" s="90">
        <v>45943</v>
      </c>
      <c r="L131" s="38">
        <v>45940</v>
      </c>
      <c r="M131" s="1">
        <v>25630</v>
      </c>
      <c r="N131" s="7">
        <v>100000</v>
      </c>
      <c r="O131" s="7"/>
      <c r="P131" s="6">
        <f t="shared" si="16"/>
        <v>54400</v>
      </c>
      <c r="Q131" s="10">
        <f t="shared" si="15"/>
        <v>2720</v>
      </c>
      <c r="R131" s="13">
        <v>5</v>
      </c>
      <c r="S131" s="91"/>
    </row>
    <row r="132" spans="1:20" x14ac:dyDescent="0.3">
      <c r="A132" s="89" t="s">
        <v>83</v>
      </c>
      <c r="B132" s="135" t="s">
        <v>17</v>
      </c>
      <c r="C132" s="135" t="s">
        <v>46</v>
      </c>
      <c r="D132" s="75">
        <v>589</v>
      </c>
      <c r="E132" s="1" t="s">
        <v>10</v>
      </c>
      <c r="F132" s="11">
        <v>45937</v>
      </c>
      <c r="G132" s="17">
        <v>1</v>
      </c>
      <c r="H132" s="4" t="s">
        <v>9</v>
      </c>
      <c r="I132" s="4">
        <f>(G132*1000/500)</f>
        <v>2</v>
      </c>
      <c r="J132" s="35">
        <v>655</v>
      </c>
      <c r="K132" s="90">
        <v>45943</v>
      </c>
      <c r="L132" s="38">
        <v>45940</v>
      </c>
      <c r="M132" s="1">
        <v>25630</v>
      </c>
      <c r="N132" s="7">
        <v>1000</v>
      </c>
      <c r="O132" s="7"/>
      <c r="P132" s="6">
        <f t="shared" si="16"/>
        <v>655</v>
      </c>
      <c r="Q132" s="6">
        <f t="shared" si="15"/>
        <v>32.75</v>
      </c>
      <c r="R132" s="13">
        <v>5</v>
      </c>
      <c r="S132" s="91"/>
    </row>
    <row r="133" spans="1:20" x14ac:dyDescent="0.3">
      <c r="A133" s="89" t="s">
        <v>83</v>
      </c>
      <c r="B133" s="135" t="s">
        <v>17</v>
      </c>
      <c r="C133" s="134" t="s">
        <v>50</v>
      </c>
      <c r="D133" s="5">
        <v>590</v>
      </c>
      <c r="E133" s="1" t="s">
        <v>10</v>
      </c>
      <c r="F133" s="11">
        <v>45937</v>
      </c>
      <c r="G133" s="3">
        <v>25</v>
      </c>
      <c r="H133" s="4" t="s">
        <v>9</v>
      </c>
      <c r="I133" s="4">
        <f>(G133*1000/400)</f>
        <v>62.5</v>
      </c>
      <c r="J133" s="16">
        <v>1328</v>
      </c>
      <c r="K133" s="90">
        <v>45943</v>
      </c>
      <c r="L133" s="38">
        <v>45940</v>
      </c>
      <c r="M133" s="1">
        <v>25630</v>
      </c>
      <c r="N133" s="7">
        <v>25200</v>
      </c>
      <c r="O133" s="7"/>
      <c r="P133" s="6">
        <f t="shared" si="16"/>
        <v>33200</v>
      </c>
      <c r="Q133" s="10">
        <f t="shared" si="15"/>
        <v>1660</v>
      </c>
      <c r="R133" s="13">
        <v>5</v>
      </c>
      <c r="S133" s="116"/>
    </row>
    <row r="134" spans="1:20" x14ac:dyDescent="0.3">
      <c r="A134" s="89" t="s">
        <v>83</v>
      </c>
      <c r="B134" s="135" t="s">
        <v>17</v>
      </c>
      <c r="C134" s="135" t="s">
        <v>48</v>
      </c>
      <c r="D134" s="75">
        <v>591</v>
      </c>
      <c r="E134" s="1" t="s">
        <v>10</v>
      </c>
      <c r="F134" s="11">
        <v>45937</v>
      </c>
      <c r="G134" s="17">
        <v>10</v>
      </c>
      <c r="H134" s="4" t="s">
        <v>9</v>
      </c>
      <c r="I134" s="4">
        <f>(G134*1000/500)</f>
        <v>20</v>
      </c>
      <c r="J134" s="6">
        <v>427</v>
      </c>
      <c r="K134" s="90">
        <v>45943</v>
      </c>
      <c r="L134" s="38">
        <v>45940</v>
      </c>
      <c r="M134" s="1">
        <v>25630</v>
      </c>
      <c r="N134" s="7">
        <v>10000</v>
      </c>
      <c r="O134" s="7"/>
      <c r="P134" s="6">
        <f t="shared" si="16"/>
        <v>4270</v>
      </c>
      <c r="Q134" s="6">
        <f t="shared" si="15"/>
        <v>213.5</v>
      </c>
      <c r="R134" s="18">
        <v>5</v>
      </c>
      <c r="S134" s="117"/>
    </row>
    <row r="135" spans="1:20" x14ac:dyDescent="0.3">
      <c r="A135" s="89" t="s">
        <v>83</v>
      </c>
      <c r="B135" s="135" t="s">
        <v>17</v>
      </c>
      <c r="C135" s="134" t="s">
        <v>49</v>
      </c>
      <c r="D135" s="75">
        <v>592</v>
      </c>
      <c r="E135" s="1" t="s">
        <v>10</v>
      </c>
      <c r="F135" s="11">
        <v>45937</v>
      </c>
      <c r="G135" s="17">
        <v>5</v>
      </c>
      <c r="H135" s="4" t="s">
        <v>9</v>
      </c>
      <c r="I135" s="4">
        <f>(G135*1000/400)</f>
        <v>12.5</v>
      </c>
      <c r="J135" s="6">
        <v>1328</v>
      </c>
      <c r="K135" s="90">
        <v>45943</v>
      </c>
      <c r="L135" s="38">
        <v>45940</v>
      </c>
      <c r="M135" s="1">
        <v>25630</v>
      </c>
      <c r="N135" s="7">
        <v>5200</v>
      </c>
      <c r="O135" s="7"/>
      <c r="P135" s="6">
        <f t="shared" si="16"/>
        <v>6640</v>
      </c>
      <c r="Q135" s="6">
        <f t="shared" si="15"/>
        <v>332</v>
      </c>
      <c r="R135" s="18">
        <v>5</v>
      </c>
      <c r="S135" s="78"/>
    </row>
    <row r="136" spans="1:20" x14ac:dyDescent="0.3">
      <c r="A136" s="89" t="s">
        <v>83</v>
      </c>
      <c r="B136" s="135" t="s">
        <v>17</v>
      </c>
      <c r="C136" s="134" t="s">
        <v>51</v>
      </c>
      <c r="D136" s="75">
        <v>593</v>
      </c>
      <c r="E136" s="1" t="s">
        <v>10</v>
      </c>
      <c r="F136" s="11">
        <v>45937</v>
      </c>
      <c r="G136" s="17">
        <v>5</v>
      </c>
      <c r="H136" s="4" t="s">
        <v>9</v>
      </c>
      <c r="I136" s="4">
        <f>(G136*1000/400)</f>
        <v>12.5</v>
      </c>
      <c r="J136" s="6">
        <v>1328</v>
      </c>
      <c r="K136" s="90">
        <v>45943</v>
      </c>
      <c r="L136" s="38">
        <v>45940</v>
      </c>
      <c r="M136" s="1">
        <v>25630</v>
      </c>
      <c r="N136" s="7">
        <v>5200</v>
      </c>
      <c r="O136" s="7"/>
      <c r="P136" s="6">
        <f t="shared" si="16"/>
        <v>6640</v>
      </c>
      <c r="Q136" s="6">
        <f t="shared" si="15"/>
        <v>332</v>
      </c>
      <c r="R136" s="18">
        <v>5</v>
      </c>
      <c r="S136" s="78"/>
    </row>
    <row r="137" spans="1:20" x14ac:dyDescent="0.3">
      <c r="A137" s="89" t="s">
        <v>83</v>
      </c>
      <c r="B137" s="142" t="s">
        <v>82</v>
      </c>
      <c r="C137" s="142"/>
      <c r="D137" s="208"/>
      <c r="E137" s="78"/>
      <c r="F137" s="78"/>
      <c r="G137" s="78"/>
      <c r="H137" s="78"/>
      <c r="I137" s="78"/>
      <c r="J137" s="78"/>
      <c r="K137" s="78"/>
      <c r="L137" s="38"/>
      <c r="M137" s="1"/>
      <c r="N137" s="7"/>
      <c r="O137" s="7"/>
      <c r="P137" s="6"/>
      <c r="Q137" s="6"/>
      <c r="R137" s="13"/>
      <c r="S137" s="1"/>
      <c r="T137" s="55"/>
    </row>
    <row r="138" spans="1:20" x14ac:dyDescent="0.3">
      <c r="A138" s="89" t="s">
        <v>83</v>
      </c>
      <c r="B138" s="138" t="s">
        <v>77</v>
      </c>
      <c r="C138" s="138" t="s">
        <v>34</v>
      </c>
      <c r="D138" s="30">
        <v>1</v>
      </c>
      <c r="E138" s="19" t="s">
        <v>75</v>
      </c>
      <c r="F138" s="32">
        <v>45832</v>
      </c>
      <c r="G138" s="110">
        <v>1.5</v>
      </c>
      <c r="H138" s="23" t="s">
        <v>9</v>
      </c>
      <c r="I138" s="23">
        <f>(G138*1000/500)</f>
        <v>3</v>
      </c>
      <c r="J138" s="28">
        <v>526.20000000000005</v>
      </c>
      <c r="K138" s="92">
        <v>45848</v>
      </c>
      <c r="L138" s="32">
        <v>45835</v>
      </c>
      <c r="M138" s="23">
        <v>25058</v>
      </c>
      <c r="N138" s="20">
        <v>1500</v>
      </c>
      <c r="O138" s="20">
        <v>0</v>
      </c>
      <c r="P138" s="28">
        <f>(N138*J138/1000)</f>
        <v>789.30000000000007</v>
      </c>
      <c r="Q138" s="28">
        <f>(P138*0.05)</f>
        <v>39.465000000000003</v>
      </c>
      <c r="R138" s="19">
        <v>5</v>
      </c>
      <c r="S138" s="1" t="s">
        <v>3</v>
      </c>
      <c r="T138" s="55"/>
    </row>
    <row r="139" spans="1:20" x14ac:dyDescent="0.3">
      <c r="A139" s="89" t="s">
        <v>83</v>
      </c>
      <c r="B139" s="138" t="s">
        <v>77</v>
      </c>
      <c r="C139" s="138" t="s">
        <v>58</v>
      </c>
      <c r="D139" s="206">
        <v>2</v>
      </c>
      <c r="E139" s="19" t="s">
        <v>75</v>
      </c>
      <c r="F139" s="32">
        <v>45832</v>
      </c>
      <c r="G139" s="77">
        <v>1.5</v>
      </c>
      <c r="H139" s="23" t="s">
        <v>9</v>
      </c>
      <c r="I139" s="23">
        <f>(G139*1000/500)</f>
        <v>3</v>
      </c>
      <c r="J139" s="28">
        <v>412.9</v>
      </c>
      <c r="K139" s="92">
        <v>45848</v>
      </c>
      <c r="L139" s="32">
        <v>45835</v>
      </c>
      <c r="M139" s="19">
        <v>25058</v>
      </c>
      <c r="N139" s="20">
        <v>1500</v>
      </c>
      <c r="O139" s="20">
        <f t="shared" ref="O139:O162" si="17">(N139-G139*1000)</f>
        <v>0</v>
      </c>
      <c r="P139" s="28">
        <f>(N139*J139/1000)</f>
        <v>619.35</v>
      </c>
      <c r="Q139" s="28">
        <f>(P139*0.05)</f>
        <v>30.967500000000001</v>
      </c>
      <c r="R139" s="29">
        <v>5</v>
      </c>
      <c r="S139" s="1" t="s">
        <v>3</v>
      </c>
      <c r="T139" s="55"/>
    </row>
    <row r="140" spans="1:20" x14ac:dyDescent="0.3">
      <c r="A140" s="89" t="s">
        <v>83</v>
      </c>
      <c r="B140" s="135" t="s">
        <v>16</v>
      </c>
      <c r="C140" s="134" t="s">
        <v>27</v>
      </c>
      <c r="D140" s="75">
        <v>440</v>
      </c>
      <c r="E140" s="1">
        <v>7107</v>
      </c>
      <c r="F140" s="2">
        <v>45687</v>
      </c>
      <c r="G140" s="7">
        <v>16</v>
      </c>
      <c r="H140" s="4" t="s">
        <v>9</v>
      </c>
      <c r="I140" s="4">
        <v>16</v>
      </c>
      <c r="J140" s="6">
        <v>275.10000000000002</v>
      </c>
      <c r="K140" s="90">
        <v>45336</v>
      </c>
      <c r="L140" s="38">
        <v>45698</v>
      </c>
      <c r="M140" s="4">
        <v>24309</v>
      </c>
      <c r="N140" s="7">
        <v>16000</v>
      </c>
      <c r="O140" s="7">
        <f t="shared" si="17"/>
        <v>0</v>
      </c>
      <c r="P140" s="10">
        <v>5290</v>
      </c>
      <c r="Q140" s="6">
        <v>264.5</v>
      </c>
      <c r="R140" s="1">
        <v>5</v>
      </c>
      <c r="S140" s="91" t="s">
        <v>3</v>
      </c>
      <c r="T140" s="8"/>
    </row>
    <row r="141" spans="1:20" x14ac:dyDescent="0.3">
      <c r="A141" s="89" t="s">
        <v>83</v>
      </c>
      <c r="B141" s="138" t="s">
        <v>15</v>
      </c>
      <c r="C141" s="136" t="s">
        <v>23</v>
      </c>
      <c r="D141" s="30">
        <v>88</v>
      </c>
      <c r="E141" s="19" t="s">
        <v>18</v>
      </c>
      <c r="F141" s="39">
        <v>45706</v>
      </c>
      <c r="G141" s="50">
        <v>20</v>
      </c>
      <c r="H141" s="23" t="s">
        <v>9</v>
      </c>
      <c r="I141" s="30">
        <f>(N141/500)</f>
        <v>32</v>
      </c>
      <c r="J141" s="28">
        <v>544</v>
      </c>
      <c r="K141" s="92">
        <v>45748</v>
      </c>
      <c r="L141" s="93">
        <v>45748</v>
      </c>
      <c r="M141" s="19">
        <v>24618</v>
      </c>
      <c r="N141" s="21">
        <v>16000</v>
      </c>
      <c r="O141" s="20">
        <f t="shared" si="17"/>
        <v>-4000</v>
      </c>
      <c r="P141" s="25">
        <f t="shared" ref="P141:P162" si="18">(N141*J141/1000)</f>
        <v>8704</v>
      </c>
      <c r="Q141" s="25">
        <f t="shared" ref="Q141:Q162" si="19">(P141*0.05)</f>
        <v>435.20000000000005</v>
      </c>
      <c r="R141" s="19">
        <v>5</v>
      </c>
      <c r="S141" s="78" t="s">
        <v>3</v>
      </c>
      <c r="T141" s="8"/>
    </row>
    <row r="142" spans="1:20" x14ac:dyDescent="0.3">
      <c r="A142" s="89" t="s">
        <v>83</v>
      </c>
      <c r="B142" s="145" t="s">
        <v>15</v>
      </c>
      <c r="C142" s="143" t="s">
        <v>23</v>
      </c>
      <c r="D142" s="63">
        <v>88</v>
      </c>
      <c r="E142" s="64" t="s">
        <v>18</v>
      </c>
      <c r="F142" s="65">
        <v>45706</v>
      </c>
      <c r="G142" s="66">
        <v>4</v>
      </c>
      <c r="H142" s="62" t="s">
        <v>9</v>
      </c>
      <c r="I142" s="63">
        <v>8</v>
      </c>
      <c r="J142" s="67">
        <v>0</v>
      </c>
      <c r="K142" s="102">
        <v>45748</v>
      </c>
      <c r="L142" s="102">
        <v>45748</v>
      </c>
      <c r="M142" s="64">
        <v>4832</v>
      </c>
      <c r="N142" s="68">
        <v>4000</v>
      </c>
      <c r="O142" s="69">
        <f t="shared" si="17"/>
        <v>0</v>
      </c>
      <c r="P142" s="70">
        <f t="shared" si="18"/>
        <v>0</v>
      </c>
      <c r="Q142" s="70">
        <f t="shared" si="19"/>
        <v>0</v>
      </c>
      <c r="R142" s="64">
        <v>5</v>
      </c>
      <c r="S142" s="103" t="s">
        <v>32</v>
      </c>
      <c r="T142" s="55"/>
    </row>
    <row r="143" spans="1:20" x14ac:dyDescent="0.3">
      <c r="A143" s="89" t="s">
        <v>83</v>
      </c>
      <c r="B143" s="135" t="s">
        <v>15</v>
      </c>
      <c r="C143" s="134" t="s">
        <v>23</v>
      </c>
      <c r="D143" s="5">
        <v>89</v>
      </c>
      <c r="E143" s="1" t="s">
        <v>18</v>
      </c>
      <c r="F143" s="2">
        <v>45706</v>
      </c>
      <c r="G143" s="9">
        <v>20</v>
      </c>
      <c r="H143" s="4" t="s">
        <v>9</v>
      </c>
      <c r="I143" s="5">
        <f>(N143/500)</f>
        <v>40</v>
      </c>
      <c r="J143" s="6">
        <v>544</v>
      </c>
      <c r="K143" s="90">
        <v>45782</v>
      </c>
      <c r="L143" s="38">
        <v>45793</v>
      </c>
      <c r="M143" s="1">
        <v>24875</v>
      </c>
      <c r="N143" s="13">
        <v>20000</v>
      </c>
      <c r="O143" s="7">
        <f t="shared" si="17"/>
        <v>0</v>
      </c>
      <c r="P143" s="10">
        <f t="shared" si="18"/>
        <v>10880</v>
      </c>
      <c r="Q143" s="10">
        <f t="shared" si="19"/>
        <v>544</v>
      </c>
      <c r="R143" s="1">
        <v>5</v>
      </c>
      <c r="S143" s="1" t="s">
        <v>3</v>
      </c>
      <c r="T143" s="55"/>
    </row>
    <row r="144" spans="1:20" x14ac:dyDescent="0.3">
      <c r="A144" s="89" t="s">
        <v>83</v>
      </c>
      <c r="B144" s="135" t="s">
        <v>28</v>
      </c>
      <c r="C144" s="134" t="s">
        <v>55</v>
      </c>
      <c r="D144" s="75">
        <v>39</v>
      </c>
      <c r="E144" s="1">
        <v>930</v>
      </c>
      <c r="F144" s="11">
        <v>45602</v>
      </c>
      <c r="G144" s="12">
        <v>23.2</v>
      </c>
      <c r="H144" s="4" t="s">
        <v>9</v>
      </c>
      <c r="I144" s="4">
        <v>58</v>
      </c>
      <c r="J144" s="6">
        <v>1182.3</v>
      </c>
      <c r="K144" s="90">
        <v>45649</v>
      </c>
      <c r="L144" s="38">
        <v>45673</v>
      </c>
      <c r="M144" s="4">
        <v>24114</v>
      </c>
      <c r="N144" s="7">
        <v>23200</v>
      </c>
      <c r="O144" s="7">
        <f t="shared" si="17"/>
        <v>0</v>
      </c>
      <c r="P144" s="6">
        <f t="shared" si="18"/>
        <v>27429.360000000001</v>
      </c>
      <c r="Q144" s="6">
        <f t="shared" si="19"/>
        <v>1371.4680000000001</v>
      </c>
      <c r="R144" s="13">
        <v>5</v>
      </c>
      <c r="S144" s="78" t="s">
        <v>3</v>
      </c>
      <c r="T144" s="14"/>
    </row>
    <row r="145" spans="1:20" x14ac:dyDescent="0.3">
      <c r="A145" s="89" t="s">
        <v>83</v>
      </c>
      <c r="B145" s="135" t="s">
        <v>28</v>
      </c>
      <c r="C145" s="134" t="s">
        <v>55</v>
      </c>
      <c r="D145" s="75">
        <v>40</v>
      </c>
      <c r="E145" s="1">
        <v>932</v>
      </c>
      <c r="F145" s="11">
        <v>45602</v>
      </c>
      <c r="G145" s="12">
        <v>23.2</v>
      </c>
      <c r="H145" s="4" t="s">
        <v>9</v>
      </c>
      <c r="I145" s="4">
        <v>58</v>
      </c>
      <c r="J145" s="6">
        <v>1327</v>
      </c>
      <c r="K145" s="90">
        <v>45667</v>
      </c>
      <c r="L145" s="38">
        <v>45673</v>
      </c>
      <c r="M145" s="4">
        <v>24114</v>
      </c>
      <c r="N145" s="7">
        <v>23200</v>
      </c>
      <c r="O145" s="7">
        <f t="shared" si="17"/>
        <v>0</v>
      </c>
      <c r="P145" s="6">
        <f t="shared" si="18"/>
        <v>30786.400000000001</v>
      </c>
      <c r="Q145" s="6">
        <f t="shared" si="19"/>
        <v>1539.3200000000002</v>
      </c>
      <c r="R145" s="13">
        <v>5</v>
      </c>
      <c r="S145" s="78" t="s">
        <v>3</v>
      </c>
      <c r="T145" s="8"/>
    </row>
    <row r="146" spans="1:20" x14ac:dyDescent="0.3">
      <c r="A146" s="89" t="s">
        <v>83</v>
      </c>
      <c r="B146" s="135" t="s">
        <v>28</v>
      </c>
      <c r="C146" s="134" t="s">
        <v>55</v>
      </c>
      <c r="D146" s="75">
        <v>41</v>
      </c>
      <c r="E146" s="1">
        <v>932</v>
      </c>
      <c r="F146" s="11">
        <v>45602</v>
      </c>
      <c r="G146" s="12">
        <v>23.2</v>
      </c>
      <c r="H146" s="4" t="s">
        <v>9</v>
      </c>
      <c r="I146" s="4">
        <v>58</v>
      </c>
      <c r="J146" s="6">
        <v>1327</v>
      </c>
      <c r="K146" s="90">
        <v>45681</v>
      </c>
      <c r="L146" s="38">
        <v>45696</v>
      </c>
      <c r="M146" s="4">
        <v>24298</v>
      </c>
      <c r="N146" s="7">
        <v>23200</v>
      </c>
      <c r="O146" s="7">
        <f t="shared" si="17"/>
        <v>0</v>
      </c>
      <c r="P146" s="6">
        <f t="shared" si="18"/>
        <v>30786.400000000001</v>
      </c>
      <c r="Q146" s="6">
        <f t="shared" si="19"/>
        <v>1539.3200000000002</v>
      </c>
      <c r="R146" s="13">
        <v>5</v>
      </c>
      <c r="S146" s="91" t="s">
        <v>3</v>
      </c>
      <c r="T146" s="8"/>
    </row>
    <row r="147" spans="1:20" x14ac:dyDescent="0.3">
      <c r="A147" s="89" t="s">
        <v>83</v>
      </c>
      <c r="B147" s="135" t="s">
        <v>28</v>
      </c>
      <c r="C147" s="134" t="s">
        <v>55</v>
      </c>
      <c r="D147" s="75">
        <v>44</v>
      </c>
      <c r="E147" s="1" t="s">
        <v>18</v>
      </c>
      <c r="F147" s="11">
        <v>45684</v>
      </c>
      <c r="G147" s="12">
        <v>23.2</v>
      </c>
      <c r="H147" s="4" t="s">
        <v>9</v>
      </c>
      <c r="I147" s="4">
        <v>58</v>
      </c>
      <c r="J147" s="6">
        <v>1327</v>
      </c>
      <c r="K147" s="90">
        <v>45691</v>
      </c>
      <c r="L147" s="38">
        <v>45696</v>
      </c>
      <c r="M147" s="4">
        <v>24298</v>
      </c>
      <c r="N147" s="7">
        <v>23200</v>
      </c>
      <c r="O147" s="7">
        <f t="shared" si="17"/>
        <v>0</v>
      </c>
      <c r="P147" s="6">
        <f t="shared" si="18"/>
        <v>30786.400000000001</v>
      </c>
      <c r="Q147" s="6">
        <f t="shared" si="19"/>
        <v>1539.3200000000002</v>
      </c>
      <c r="R147" s="13">
        <v>5</v>
      </c>
      <c r="S147" s="91" t="s">
        <v>3</v>
      </c>
      <c r="T147" s="8"/>
    </row>
    <row r="148" spans="1:20" x14ac:dyDescent="0.3">
      <c r="A148" s="89" t="s">
        <v>83</v>
      </c>
      <c r="B148" s="135" t="s">
        <v>28</v>
      </c>
      <c r="C148" s="136" t="s">
        <v>55</v>
      </c>
      <c r="D148" s="206">
        <v>45</v>
      </c>
      <c r="E148" s="19" t="s">
        <v>10</v>
      </c>
      <c r="F148" s="32">
        <v>45691</v>
      </c>
      <c r="G148" s="33">
        <v>30</v>
      </c>
      <c r="H148" s="23" t="s">
        <v>9</v>
      </c>
      <c r="I148" s="23">
        <v>75</v>
      </c>
      <c r="J148" s="28">
        <v>1327</v>
      </c>
      <c r="K148" s="92">
        <v>45712</v>
      </c>
      <c r="L148" s="93">
        <v>45710</v>
      </c>
      <c r="M148" s="23">
        <v>24391</v>
      </c>
      <c r="N148" s="20">
        <v>30000</v>
      </c>
      <c r="O148" s="20">
        <f t="shared" si="17"/>
        <v>0</v>
      </c>
      <c r="P148" s="28">
        <f t="shared" si="18"/>
        <v>39810</v>
      </c>
      <c r="Q148" s="28">
        <f t="shared" si="19"/>
        <v>1990.5</v>
      </c>
      <c r="R148" s="21">
        <v>5</v>
      </c>
      <c r="S148" s="91" t="s">
        <v>3</v>
      </c>
      <c r="T148" s="8"/>
    </row>
    <row r="149" spans="1:20" x14ac:dyDescent="0.3">
      <c r="A149" s="89" t="s">
        <v>83</v>
      </c>
      <c r="B149" s="135" t="s">
        <v>28</v>
      </c>
      <c r="C149" s="134" t="s">
        <v>55</v>
      </c>
      <c r="D149" s="75">
        <v>46</v>
      </c>
      <c r="E149" s="1" t="s">
        <v>10</v>
      </c>
      <c r="F149" s="11">
        <v>45691</v>
      </c>
      <c r="G149" s="12">
        <v>60</v>
      </c>
      <c r="H149" s="4" t="s">
        <v>9</v>
      </c>
      <c r="I149" s="4">
        <v>120</v>
      </c>
      <c r="J149" s="6">
        <v>1327</v>
      </c>
      <c r="K149" s="90">
        <v>45723</v>
      </c>
      <c r="L149" s="38">
        <v>45733</v>
      </c>
      <c r="M149" s="4">
        <v>24530</v>
      </c>
      <c r="N149" s="7">
        <v>60000</v>
      </c>
      <c r="O149" s="7">
        <f t="shared" si="17"/>
        <v>0</v>
      </c>
      <c r="P149" s="6">
        <f t="shared" si="18"/>
        <v>79620</v>
      </c>
      <c r="Q149" s="6">
        <f t="shared" si="19"/>
        <v>3981</v>
      </c>
      <c r="R149" s="13">
        <v>5</v>
      </c>
      <c r="S149" s="1" t="s">
        <v>3</v>
      </c>
      <c r="T149" s="8"/>
    </row>
    <row r="150" spans="1:20" x14ac:dyDescent="0.3">
      <c r="A150" s="89" t="s">
        <v>83</v>
      </c>
      <c r="B150" s="135" t="s">
        <v>28</v>
      </c>
      <c r="C150" s="134" t="s">
        <v>55</v>
      </c>
      <c r="D150" s="75">
        <v>47</v>
      </c>
      <c r="E150" s="1" t="s">
        <v>10</v>
      </c>
      <c r="F150" s="11">
        <v>45691</v>
      </c>
      <c r="G150" s="12">
        <v>30</v>
      </c>
      <c r="H150" s="4" t="s">
        <v>9</v>
      </c>
      <c r="I150" s="4">
        <v>75</v>
      </c>
      <c r="J150" s="6">
        <v>1327</v>
      </c>
      <c r="K150" s="90">
        <v>45741</v>
      </c>
      <c r="L150" s="38">
        <v>45748</v>
      </c>
      <c r="M150" s="4">
        <v>24619</v>
      </c>
      <c r="N150" s="7">
        <v>32160</v>
      </c>
      <c r="O150" s="7">
        <f t="shared" si="17"/>
        <v>2160</v>
      </c>
      <c r="P150" s="6">
        <f t="shared" si="18"/>
        <v>42676.32</v>
      </c>
      <c r="Q150" s="6">
        <f t="shared" si="19"/>
        <v>2133.8160000000003</v>
      </c>
      <c r="R150" s="13">
        <v>5</v>
      </c>
      <c r="S150" s="1" t="s">
        <v>3</v>
      </c>
      <c r="T150" s="8"/>
    </row>
    <row r="151" spans="1:20" x14ac:dyDescent="0.3">
      <c r="A151" s="89" t="s">
        <v>83</v>
      </c>
      <c r="B151" s="135" t="s">
        <v>28</v>
      </c>
      <c r="C151" s="134" t="s">
        <v>55</v>
      </c>
      <c r="D151" s="75">
        <v>48</v>
      </c>
      <c r="E151" s="1" t="s">
        <v>10</v>
      </c>
      <c r="F151" s="11">
        <v>45691</v>
      </c>
      <c r="G151" s="12">
        <v>10</v>
      </c>
      <c r="H151" s="4" t="s">
        <v>9</v>
      </c>
      <c r="I151" s="4">
        <v>25</v>
      </c>
      <c r="J151" s="6">
        <v>1327</v>
      </c>
      <c r="K151" s="90">
        <v>45751</v>
      </c>
      <c r="L151" s="38">
        <v>45785</v>
      </c>
      <c r="M151" s="4">
        <v>24832</v>
      </c>
      <c r="N151" s="7">
        <v>10000</v>
      </c>
      <c r="O151" s="7">
        <f t="shared" si="17"/>
        <v>0</v>
      </c>
      <c r="P151" s="6">
        <f t="shared" si="18"/>
        <v>13270</v>
      </c>
      <c r="Q151" s="6">
        <f t="shared" si="19"/>
        <v>663.5</v>
      </c>
      <c r="R151" s="13">
        <v>5</v>
      </c>
      <c r="S151" s="101"/>
      <c r="T151" s="55"/>
    </row>
    <row r="152" spans="1:20" x14ac:dyDescent="0.3">
      <c r="A152" s="89" t="s">
        <v>83</v>
      </c>
      <c r="B152" s="135" t="s">
        <v>28</v>
      </c>
      <c r="C152" s="134" t="s">
        <v>55</v>
      </c>
      <c r="D152" s="75">
        <v>48</v>
      </c>
      <c r="E152" s="1" t="s">
        <v>10</v>
      </c>
      <c r="F152" s="11">
        <v>45691</v>
      </c>
      <c r="G152" s="12">
        <v>60</v>
      </c>
      <c r="H152" s="4" t="s">
        <v>9</v>
      </c>
      <c r="I152" s="4">
        <v>150</v>
      </c>
      <c r="J152" s="6">
        <v>1327</v>
      </c>
      <c r="K152" s="90">
        <v>45751</v>
      </c>
      <c r="L152" s="38">
        <v>45762</v>
      </c>
      <c r="M152" s="4">
        <v>24714</v>
      </c>
      <c r="N152" s="7">
        <v>50000</v>
      </c>
      <c r="O152" s="7">
        <f t="shared" si="17"/>
        <v>-10000</v>
      </c>
      <c r="P152" s="6">
        <f t="shared" si="18"/>
        <v>66350</v>
      </c>
      <c r="Q152" s="6">
        <f t="shared" si="19"/>
        <v>3317.5</v>
      </c>
      <c r="R152" s="13">
        <v>5</v>
      </c>
      <c r="S152" s="78" t="s">
        <v>3</v>
      </c>
      <c r="T152" s="8"/>
    </row>
    <row r="153" spans="1:20" x14ac:dyDescent="0.3">
      <c r="A153" s="89" t="s">
        <v>83</v>
      </c>
      <c r="B153" s="135" t="s">
        <v>28</v>
      </c>
      <c r="C153" s="134" t="s">
        <v>39</v>
      </c>
      <c r="D153" s="75">
        <v>49</v>
      </c>
      <c r="E153" s="1" t="s">
        <v>18</v>
      </c>
      <c r="F153" s="11">
        <v>45709</v>
      </c>
      <c r="G153" s="37">
        <v>10</v>
      </c>
      <c r="H153" s="4" t="s">
        <v>9</v>
      </c>
      <c r="I153" s="4">
        <v>25</v>
      </c>
      <c r="J153" s="6">
        <v>1327</v>
      </c>
      <c r="K153" s="90">
        <v>45723</v>
      </c>
      <c r="L153" s="38">
        <v>45733</v>
      </c>
      <c r="M153" s="4">
        <v>24530</v>
      </c>
      <c r="N153" s="7">
        <v>10000</v>
      </c>
      <c r="O153" s="7">
        <f t="shared" si="17"/>
        <v>0</v>
      </c>
      <c r="P153" s="6">
        <f t="shared" si="18"/>
        <v>13270</v>
      </c>
      <c r="Q153" s="6">
        <f t="shared" si="19"/>
        <v>663.5</v>
      </c>
      <c r="R153" s="13">
        <v>5</v>
      </c>
      <c r="S153" s="1" t="s">
        <v>3</v>
      </c>
      <c r="T153" s="8"/>
    </row>
    <row r="154" spans="1:20" x14ac:dyDescent="0.3">
      <c r="A154" s="89" t="s">
        <v>83</v>
      </c>
      <c r="B154" s="135" t="s">
        <v>28</v>
      </c>
      <c r="C154" s="134" t="s">
        <v>44</v>
      </c>
      <c r="D154" s="75">
        <v>50</v>
      </c>
      <c r="E154" s="1" t="s">
        <v>18</v>
      </c>
      <c r="F154" s="11">
        <v>45709</v>
      </c>
      <c r="G154" s="37">
        <v>10</v>
      </c>
      <c r="H154" s="4" t="s">
        <v>9</v>
      </c>
      <c r="I154" s="4">
        <v>25</v>
      </c>
      <c r="J154" s="6">
        <v>1327</v>
      </c>
      <c r="K154" s="90">
        <v>45723</v>
      </c>
      <c r="L154" s="38">
        <v>45733</v>
      </c>
      <c r="M154" s="4">
        <v>24530</v>
      </c>
      <c r="N154" s="7">
        <v>10000</v>
      </c>
      <c r="O154" s="7">
        <f t="shared" si="17"/>
        <v>0</v>
      </c>
      <c r="P154" s="6">
        <f t="shared" si="18"/>
        <v>13270</v>
      </c>
      <c r="Q154" s="6">
        <f t="shared" si="19"/>
        <v>663.5</v>
      </c>
      <c r="R154" s="13">
        <v>5</v>
      </c>
      <c r="S154" s="1" t="s">
        <v>3</v>
      </c>
      <c r="T154" s="8"/>
    </row>
    <row r="155" spans="1:20" x14ac:dyDescent="0.3">
      <c r="A155" s="89" t="s">
        <v>83</v>
      </c>
      <c r="B155" s="135" t="s">
        <v>28</v>
      </c>
      <c r="C155" s="134" t="s">
        <v>55</v>
      </c>
      <c r="D155" s="75">
        <v>51</v>
      </c>
      <c r="E155" s="1">
        <v>3961</v>
      </c>
      <c r="F155" s="11">
        <v>45738</v>
      </c>
      <c r="G155" s="12">
        <v>64.8</v>
      </c>
      <c r="H155" s="4" t="s">
        <v>9</v>
      </c>
      <c r="I155" s="4">
        <v>162</v>
      </c>
      <c r="J155" s="6">
        <v>1350</v>
      </c>
      <c r="K155" s="90">
        <v>45764</v>
      </c>
      <c r="L155" s="38">
        <v>45785</v>
      </c>
      <c r="M155" s="4">
        <v>24832</v>
      </c>
      <c r="N155" s="7">
        <v>64800</v>
      </c>
      <c r="O155" s="7">
        <f t="shared" si="17"/>
        <v>0</v>
      </c>
      <c r="P155" s="6">
        <f t="shared" si="18"/>
        <v>87480</v>
      </c>
      <c r="Q155" s="6">
        <f t="shared" si="19"/>
        <v>4374</v>
      </c>
      <c r="R155" s="13">
        <v>5</v>
      </c>
      <c r="S155" s="101"/>
      <c r="T155" s="55"/>
    </row>
    <row r="156" spans="1:20" x14ac:dyDescent="0.3">
      <c r="A156" s="89" t="s">
        <v>83</v>
      </c>
      <c r="B156" s="135" t="s">
        <v>28</v>
      </c>
      <c r="C156" s="134" t="s">
        <v>61</v>
      </c>
      <c r="D156" s="75">
        <v>52</v>
      </c>
      <c r="E156" s="1" t="s">
        <v>10</v>
      </c>
      <c r="F156" s="11">
        <v>45738</v>
      </c>
      <c r="G156" s="37">
        <v>14.4</v>
      </c>
      <c r="H156" s="4" t="s">
        <v>9</v>
      </c>
      <c r="I156" s="4">
        <v>36</v>
      </c>
      <c r="J156" s="6">
        <v>1350</v>
      </c>
      <c r="K156" s="90">
        <v>45764</v>
      </c>
      <c r="L156" s="38">
        <v>45762</v>
      </c>
      <c r="M156" s="4">
        <v>24714</v>
      </c>
      <c r="N156" s="7">
        <v>14400</v>
      </c>
      <c r="O156" s="7">
        <f t="shared" si="17"/>
        <v>0</v>
      </c>
      <c r="P156" s="6">
        <f t="shared" si="18"/>
        <v>19440</v>
      </c>
      <c r="Q156" s="6">
        <f t="shared" si="19"/>
        <v>972</v>
      </c>
      <c r="R156" s="13">
        <v>5</v>
      </c>
      <c r="S156" s="94" t="s">
        <v>3</v>
      </c>
      <c r="T156" s="55"/>
    </row>
    <row r="157" spans="1:20" x14ac:dyDescent="0.3">
      <c r="A157" s="89" t="s">
        <v>83</v>
      </c>
      <c r="B157" s="135" t="s">
        <v>28</v>
      </c>
      <c r="C157" s="134" t="s">
        <v>55</v>
      </c>
      <c r="D157" s="75">
        <v>53</v>
      </c>
      <c r="E157" s="1">
        <v>3963</v>
      </c>
      <c r="F157" s="11">
        <v>45738</v>
      </c>
      <c r="G157" s="12">
        <v>42.8</v>
      </c>
      <c r="H157" s="4" t="s">
        <v>9</v>
      </c>
      <c r="I157" s="4"/>
      <c r="J157" s="6">
        <v>1350</v>
      </c>
      <c r="K157" s="90">
        <v>45782</v>
      </c>
      <c r="L157" s="38">
        <v>45798</v>
      </c>
      <c r="M157" s="4">
        <v>24897</v>
      </c>
      <c r="N157" s="7">
        <v>42800</v>
      </c>
      <c r="O157" s="7">
        <f t="shared" si="17"/>
        <v>0</v>
      </c>
      <c r="P157" s="6">
        <f t="shared" si="18"/>
        <v>57780</v>
      </c>
      <c r="Q157" s="6">
        <f t="shared" si="19"/>
        <v>2889</v>
      </c>
      <c r="R157" s="13">
        <v>5</v>
      </c>
      <c r="S157" s="101" t="s">
        <v>3</v>
      </c>
      <c r="T157" s="55"/>
    </row>
    <row r="158" spans="1:20" x14ac:dyDescent="0.3">
      <c r="A158" s="89" t="s">
        <v>83</v>
      </c>
      <c r="B158" s="135" t="s">
        <v>28</v>
      </c>
      <c r="C158" s="134" t="s">
        <v>55</v>
      </c>
      <c r="D158" s="75">
        <v>53</v>
      </c>
      <c r="E158" s="1">
        <v>3963</v>
      </c>
      <c r="F158" s="11">
        <v>45738</v>
      </c>
      <c r="G158" s="12">
        <v>64.8</v>
      </c>
      <c r="H158" s="4" t="s">
        <v>9</v>
      </c>
      <c r="I158" s="4">
        <v>162</v>
      </c>
      <c r="J158" s="6">
        <v>1350</v>
      </c>
      <c r="K158" s="90">
        <v>45782</v>
      </c>
      <c r="L158" s="38">
        <v>45785</v>
      </c>
      <c r="M158" s="4">
        <v>24832</v>
      </c>
      <c r="N158" s="7">
        <v>22000</v>
      </c>
      <c r="O158" s="7">
        <f t="shared" si="17"/>
        <v>-42800</v>
      </c>
      <c r="P158" s="6">
        <f t="shared" si="18"/>
        <v>29700</v>
      </c>
      <c r="Q158" s="6">
        <f t="shared" si="19"/>
        <v>1485</v>
      </c>
      <c r="R158" s="13">
        <v>5</v>
      </c>
      <c r="S158" s="101" t="s">
        <v>3</v>
      </c>
      <c r="T158" s="55"/>
    </row>
    <row r="159" spans="1:20" x14ac:dyDescent="0.3">
      <c r="A159" s="89" t="s">
        <v>83</v>
      </c>
      <c r="B159" s="145" t="s">
        <v>28</v>
      </c>
      <c r="C159" s="143" t="s">
        <v>55</v>
      </c>
      <c r="D159" s="209">
        <v>54</v>
      </c>
      <c r="E159" s="64">
        <v>3960</v>
      </c>
      <c r="F159" s="73">
        <v>45738</v>
      </c>
      <c r="G159" s="74">
        <v>47.6</v>
      </c>
      <c r="H159" s="62" t="s">
        <v>9</v>
      </c>
      <c r="I159" s="62">
        <f>(G159*1000/400)</f>
        <v>119</v>
      </c>
      <c r="J159" s="67">
        <v>1350</v>
      </c>
      <c r="K159" s="102">
        <v>45810</v>
      </c>
      <c r="L159" s="102">
        <v>45810</v>
      </c>
      <c r="M159" s="62"/>
      <c r="N159" s="69">
        <v>47600</v>
      </c>
      <c r="O159" s="72">
        <f t="shared" si="17"/>
        <v>0</v>
      </c>
      <c r="P159" s="67">
        <f t="shared" si="18"/>
        <v>64260</v>
      </c>
      <c r="Q159" s="67">
        <f t="shared" si="19"/>
        <v>3213</v>
      </c>
      <c r="R159" s="68">
        <v>5</v>
      </c>
      <c r="S159" s="106"/>
      <c r="T159" s="55"/>
    </row>
    <row r="160" spans="1:20" x14ac:dyDescent="0.3">
      <c r="A160" s="89" t="s">
        <v>83</v>
      </c>
      <c r="B160" s="135" t="s">
        <v>28</v>
      </c>
      <c r="C160" s="134" t="s">
        <v>55</v>
      </c>
      <c r="D160" s="75">
        <v>54</v>
      </c>
      <c r="E160" s="1">
        <v>3960</v>
      </c>
      <c r="F160" s="11">
        <v>45738</v>
      </c>
      <c r="G160" s="12">
        <v>64.8</v>
      </c>
      <c r="H160" s="4" t="s">
        <v>9</v>
      </c>
      <c r="I160" s="4">
        <f>(G160*1000/400)</f>
        <v>162</v>
      </c>
      <c r="J160" s="6">
        <v>1350</v>
      </c>
      <c r="K160" s="90">
        <v>45794</v>
      </c>
      <c r="L160" s="38">
        <v>45798</v>
      </c>
      <c r="M160" s="4">
        <v>24897</v>
      </c>
      <c r="N160" s="7">
        <v>17200</v>
      </c>
      <c r="O160" s="7">
        <f t="shared" si="17"/>
        <v>-47600</v>
      </c>
      <c r="P160" s="6">
        <f t="shared" si="18"/>
        <v>23220</v>
      </c>
      <c r="Q160" s="6">
        <f t="shared" si="19"/>
        <v>1161</v>
      </c>
      <c r="R160" s="13">
        <v>5</v>
      </c>
      <c r="S160" s="101" t="s">
        <v>3</v>
      </c>
      <c r="T160" s="55"/>
    </row>
    <row r="161" spans="1:20" x14ac:dyDescent="0.3">
      <c r="A161" s="89" t="s">
        <v>83</v>
      </c>
      <c r="B161" s="145" t="s">
        <v>28</v>
      </c>
      <c r="C161" s="143" t="s">
        <v>55</v>
      </c>
      <c r="D161" s="209">
        <v>55</v>
      </c>
      <c r="E161" s="64" t="s">
        <v>10</v>
      </c>
      <c r="F161" s="73">
        <v>45738</v>
      </c>
      <c r="G161" s="74">
        <v>64.8</v>
      </c>
      <c r="H161" s="62" t="s">
        <v>9</v>
      </c>
      <c r="I161" s="62">
        <v>162</v>
      </c>
      <c r="J161" s="67">
        <v>1350</v>
      </c>
      <c r="K161" s="102">
        <v>45810</v>
      </c>
      <c r="L161" s="102">
        <v>45810</v>
      </c>
      <c r="M161" s="62"/>
      <c r="N161" s="69">
        <v>64800</v>
      </c>
      <c r="O161" s="72">
        <f t="shared" si="17"/>
        <v>0</v>
      </c>
      <c r="P161" s="67">
        <f t="shared" si="18"/>
        <v>87480</v>
      </c>
      <c r="Q161" s="67">
        <f t="shared" si="19"/>
        <v>4374</v>
      </c>
      <c r="R161" s="68">
        <v>5</v>
      </c>
      <c r="S161" s="107"/>
      <c r="T161" s="55"/>
    </row>
    <row r="162" spans="1:20" x14ac:dyDescent="0.3">
      <c r="A162" s="89" t="s">
        <v>83</v>
      </c>
      <c r="B162" s="135" t="s">
        <v>28</v>
      </c>
      <c r="C162" s="134" t="s">
        <v>60</v>
      </c>
      <c r="D162" s="75">
        <v>56</v>
      </c>
      <c r="E162" s="1" t="s">
        <v>18</v>
      </c>
      <c r="F162" s="11">
        <v>45742</v>
      </c>
      <c r="G162" s="37">
        <v>10</v>
      </c>
      <c r="H162" s="4" t="s">
        <v>9</v>
      </c>
      <c r="I162" s="4">
        <v>25</v>
      </c>
      <c r="J162" s="6">
        <v>1350</v>
      </c>
      <c r="K162" s="90">
        <v>45764</v>
      </c>
      <c r="L162" s="38">
        <v>45762</v>
      </c>
      <c r="M162" s="4">
        <v>24714</v>
      </c>
      <c r="N162" s="7">
        <v>10000</v>
      </c>
      <c r="O162" s="7">
        <f t="shared" si="17"/>
        <v>0</v>
      </c>
      <c r="P162" s="6">
        <f t="shared" si="18"/>
        <v>13500</v>
      </c>
      <c r="Q162" s="6">
        <f t="shared" si="19"/>
        <v>675</v>
      </c>
      <c r="R162" s="13">
        <v>5</v>
      </c>
      <c r="S162" s="10" t="s">
        <v>3</v>
      </c>
      <c r="T162" s="8"/>
    </row>
    <row r="163" spans="1:20" x14ac:dyDescent="0.3">
      <c r="A163" s="89" t="s">
        <v>83</v>
      </c>
      <c r="B163" s="135" t="s">
        <v>28</v>
      </c>
      <c r="C163" s="134" t="s">
        <v>37</v>
      </c>
      <c r="D163" s="75">
        <v>57</v>
      </c>
      <c r="E163" s="1" t="s">
        <v>18</v>
      </c>
      <c r="F163" s="2">
        <v>45748</v>
      </c>
      <c r="G163" s="54">
        <v>5</v>
      </c>
      <c r="H163" s="4" t="s">
        <v>9</v>
      </c>
      <c r="I163" s="4">
        <v>5</v>
      </c>
      <c r="J163" s="6">
        <v>266.5</v>
      </c>
      <c r="K163" s="90">
        <v>45764</v>
      </c>
      <c r="L163" s="38">
        <v>45762</v>
      </c>
      <c r="M163" s="4">
        <v>24714</v>
      </c>
      <c r="N163" s="7">
        <v>5000</v>
      </c>
      <c r="O163" s="7">
        <v>0</v>
      </c>
      <c r="P163" s="10">
        <v>1572</v>
      </c>
      <c r="Q163" s="6">
        <v>143.69999999999999</v>
      </c>
      <c r="R163" s="1">
        <v>5</v>
      </c>
      <c r="S163" s="10" t="s">
        <v>3</v>
      </c>
      <c r="T163" s="55"/>
    </row>
    <row r="164" spans="1:20" x14ac:dyDescent="0.3">
      <c r="A164" s="89" t="s">
        <v>83</v>
      </c>
      <c r="B164" s="135" t="s">
        <v>28</v>
      </c>
      <c r="C164" s="134" t="s">
        <v>65</v>
      </c>
      <c r="D164" s="75">
        <v>58</v>
      </c>
      <c r="E164" s="1" t="s">
        <v>10</v>
      </c>
      <c r="F164" s="11">
        <v>45775</v>
      </c>
      <c r="G164" s="12">
        <v>12.5</v>
      </c>
      <c r="H164" s="4" t="s">
        <v>9</v>
      </c>
      <c r="I164" s="4">
        <v>31.25</v>
      </c>
      <c r="J164" s="6">
        <v>1607.4</v>
      </c>
      <c r="K164" s="90">
        <v>45794</v>
      </c>
      <c r="L164" s="38">
        <v>45798</v>
      </c>
      <c r="M164" s="4">
        <v>24897</v>
      </c>
      <c r="N164" s="7">
        <v>12600</v>
      </c>
      <c r="O164" s="7">
        <f>(N164-G164*1000)</f>
        <v>100</v>
      </c>
      <c r="P164" s="6">
        <f t="shared" ref="P164:P169" si="20">(N164*J164/1000)</f>
        <v>20253.240000000002</v>
      </c>
      <c r="Q164" s="6">
        <f>(P164*0.05)</f>
        <v>1012.6620000000001</v>
      </c>
      <c r="R164" s="13">
        <v>5</v>
      </c>
      <c r="S164" s="101" t="s">
        <v>3</v>
      </c>
      <c r="T164" s="55"/>
    </row>
    <row r="165" spans="1:20" x14ac:dyDescent="0.3">
      <c r="A165" s="89" t="s">
        <v>83</v>
      </c>
      <c r="B165" s="135" t="s">
        <v>28</v>
      </c>
      <c r="C165" s="134" t="s">
        <v>69</v>
      </c>
      <c r="D165" s="75">
        <v>59</v>
      </c>
      <c r="E165" s="1">
        <v>3963</v>
      </c>
      <c r="F165" s="11">
        <v>45776</v>
      </c>
      <c r="G165" s="54">
        <v>25</v>
      </c>
      <c r="H165" s="4" t="s">
        <v>9</v>
      </c>
      <c r="I165" s="4">
        <f>(G165*1000/200)</f>
        <v>125</v>
      </c>
      <c r="J165" s="6">
        <v>1607.4</v>
      </c>
      <c r="K165" s="90">
        <v>45782</v>
      </c>
      <c r="L165" s="38">
        <v>45798</v>
      </c>
      <c r="M165" s="4">
        <v>24897</v>
      </c>
      <c r="N165" s="7">
        <v>25000</v>
      </c>
      <c r="O165" s="7">
        <f>(N165-G165*1000)</f>
        <v>0</v>
      </c>
      <c r="P165" s="6">
        <f t="shared" si="20"/>
        <v>40185</v>
      </c>
      <c r="Q165" s="6">
        <f>(P165*0.05)</f>
        <v>2009.25</v>
      </c>
      <c r="R165" s="13">
        <v>5</v>
      </c>
      <c r="S165" s="101" t="s">
        <v>3</v>
      </c>
      <c r="T165" s="55"/>
    </row>
    <row r="166" spans="1:20" x14ac:dyDescent="0.3">
      <c r="A166" s="89" t="s">
        <v>83</v>
      </c>
      <c r="B166" s="135" t="s">
        <v>28</v>
      </c>
      <c r="C166" s="134" t="s">
        <v>66</v>
      </c>
      <c r="D166" s="75">
        <v>60</v>
      </c>
      <c r="E166" s="1">
        <v>3963</v>
      </c>
      <c r="F166" s="11">
        <v>45776</v>
      </c>
      <c r="G166" s="12">
        <v>10</v>
      </c>
      <c r="H166" s="4" t="s">
        <v>9</v>
      </c>
      <c r="I166" s="4">
        <v>25</v>
      </c>
      <c r="J166" s="6">
        <v>1350</v>
      </c>
      <c r="K166" s="90">
        <v>45782</v>
      </c>
      <c r="L166" s="38">
        <v>45785</v>
      </c>
      <c r="M166" s="4">
        <v>24832</v>
      </c>
      <c r="N166" s="7">
        <v>10000</v>
      </c>
      <c r="O166" s="7">
        <f>(N166-G166*1000)</f>
        <v>0</v>
      </c>
      <c r="P166" s="6">
        <f t="shared" si="20"/>
        <v>13500</v>
      </c>
      <c r="Q166" s="6">
        <f>(P166*0.05)</f>
        <v>675</v>
      </c>
      <c r="R166" s="13">
        <v>5</v>
      </c>
      <c r="S166" s="101" t="s">
        <v>3</v>
      </c>
      <c r="T166" s="55"/>
    </row>
    <row r="167" spans="1:20" x14ac:dyDescent="0.3">
      <c r="A167" s="89" t="s">
        <v>83</v>
      </c>
      <c r="B167" s="135" t="s">
        <v>28</v>
      </c>
      <c r="C167" s="134" t="s">
        <v>44</v>
      </c>
      <c r="D167" s="75">
        <v>61</v>
      </c>
      <c r="E167" s="1">
        <v>3960</v>
      </c>
      <c r="F167" s="11">
        <v>45776</v>
      </c>
      <c r="G167" s="37">
        <v>10</v>
      </c>
      <c r="H167" s="4" t="s">
        <v>9</v>
      </c>
      <c r="I167" s="4">
        <v>25</v>
      </c>
      <c r="J167" s="6">
        <v>1350</v>
      </c>
      <c r="K167" s="90">
        <v>45794</v>
      </c>
      <c r="L167" s="38">
        <v>45798</v>
      </c>
      <c r="M167" s="4">
        <v>24897</v>
      </c>
      <c r="N167" s="7">
        <v>10000</v>
      </c>
      <c r="O167" s="7">
        <f>(N167-G167*1000)</f>
        <v>0</v>
      </c>
      <c r="P167" s="6">
        <f t="shared" si="20"/>
        <v>13500</v>
      </c>
      <c r="Q167" s="6">
        <f>(P167*0.05)</f>
        <v>675</v>
      </c>
      <c r="R167" s="13">
        <v>5</v>
      </c>
      <c r="S167" s="101" t="s">
        <v>3</v>
      </c>
      <c r="T167" s="55"/>
    </row>
    <row r="168" spans="1:20" x14ac:dyDescent="0.3">
      <c r="A168" s="89" t="s">
        <v>83</v>
      </c>
      <c r="B168" s="135" t="s">
        <v>28</v>
      </c>
      <c r="C168" s="134" t="s">
        <v>60</v>
      </c>
      <c r="D168" s="75">
        <v>62</v>
      </c>
      <c r="E168" s="1">
        <v>3960</v>
      </c>
      <c r="F168" s="11">
        <v>45777</v>
      </c>
      <c r="G168" s="37">
        <v>10</v>
      </c>
      <c r="H168" s="4" t="s">
        <v>9</v>
      </c>
      <c r="I168" s="4">
        <v>25</v>
      </c>
      <c r="J168" s="6">
        <v>1350</v>
      </c>
      <c r="K168" s="90">
        <v>45794</v>
      </c>
      <c r="L168" s="38">
        <v>45798</v>
      </c>
      <c r="M168" s="4">
        <v>24897</v>
      </c>
      <c r="N168" s="7">
        <v>10000</v>
      </c>
      <c r="O168" s="7">
        <f>(N168-G168*1000)</f>
        <v>0</v>
      </c>
      <c r="P168" s="6">
        <f t="shared" si="20"/>
        <v>13500</v>
      </c>
      <c r="Q168" s="6">
        <f>(P168*0.05)</f>
        <v>675</v>
      </c>
      <c r="R168" s="13">
        <v>5</v>
      </c>
      <c r="S168" s="101" t="s">
        <v>3</v>
      </c>
      <c r="T168" s="55"/>
    </row>
    <row r="169" spans="1:20" x14ac:dyDescent="0.3">
      <c r="A169" s="89" t="s">
        <v>83</v>
      </c>
      <c r="B169" s="135" t="s">
        <v>28</v>
      </c>
      <c r="C169" s="134" t="s">
        <v>67</v>
      </c>
      <c r="D169" s="75">
        <v>63</v>
      </c>
      <c r="E169" s="1">
        <v>3963</v>
      </c>
      <c r="F169" s="2">
        <v>45777</v>
      </c>
      <c r="G169" s="9">
        <v>4</v>
      </c>
      <c r="H169" s="4" t="s">
        <v>9</v>
      </c>
      <c r="I169" s="4">
        <v>4</v>
      </c>
      <c r="J169" s="6">
        <v>1080</v>
      </c>
      <c r="K169" s="90">
        <v>45785</v>
      </c>
      <c r="L169" s="38">
        <v>45785</v>
      </c>
      <c r="M169" s="4">
        <v>24832</v>
      </c>
      <c r="N169" s="7">
        <v>4000</v>
      </c>
      <c r="O169" s="7">
        <v>0</v>
      </c>
      <c r="P169" s="6">
        <f t="shared" si="20"/>
        <v>4320</v>
      </c>
      <c r="Q169" s="6">
        <v>143.69999999999999</v>
      </c>
      <c r="R169" s="1">
        <v>5</v>
      </c>
      <c r="S169" s="101" t="s">
        <v>3</v>
      </c>
      <c r="T169" s="55"/>
    </row>
    <row r="170" spans="1:20" x14ac:dyDescent="0.3">
      <c r="A170" s="89" t="s">
        <v>83</v>
      </c>
      <c r="B170" s="135" t="s">
        <v>28</v>
      </c>
      <c r="C170" s="134" t="s">
        <v>37</v>
      </c>
      <c r="D170" s="75">
        <v>64</v>
      </c>
      <c r="E170" s="1">
        <v>3963</v>
      </c>
      <c r="F170" s="2">
        <v>45779</v>
      </c>
      <c r="G170" s="9">
        <v>5</v>
      </c>
      <c r="H170" s="4" t="s">
        <v>9</v>
      </c>
      <c r="I170" s="4">
        <f>(G170*1000/1000)</f>
        <v>5</v>
      </c>
      <c r="J170" s="6">
        <v>266.5</v>
      </c>
      <c r="K170" s="90">
        <v>45782</v>
      </c>
      <c r="L170" s="38">
        <v>45785</v>
      </c>
      <c r="M170" s="4">
        <v>24832</v>
      </c>
      <c r="N170" s="7">
        <v>5000</v>
      </c>
      <c r="O170" s="7">
        <v>0</v>
      </c>
      <c r="P170" s="10">
        <v>1572</v>
      </c>
      <c r="Q170" s="6">
        <v>143.69999999999999</v>
      </c>
      <c r="R170" s="1">
        <v>5</v>
      </c>
      <c r="S170" s="1"/>
      <c r="T170" s="55"/>
    </row>
    <row r="171" spans="1:20" x14ac:dyDescent="0.3">
      <c r="A171" s="89" t="s">
        <v>83</v>
      </c>
      <c r="B171" s="135" t="s">
        <v>28</v>
      </c>
      <c r="C171" s="134" t="s">
        <v>72</v>
      </c>
      <c r="D171" s="75">
        <v>65</v>
      </c>
      <c r="E171" s="1">
        <v>4592</v>
      </c>
      <c r="F171" s="11">
        <v>45803</v>
      </c>
      <c r="G171" s="12">
        <v>14.4</v>
      </c>
      <c r="H171" s="4" t="s">
        <v>9</v>
      </c>
      <c r="I171" s="4">
        <f>(G171*1000/400)</f>
        <v>36</v>
      </c>
      <c r="J171" s="6">
        <v>1350</v>
      </c>
      <c r="K171" s="90">
        <v>45810</v>
      </c>
      <c r="L171" s="38">
        <v>45812</v>
      </c>
      <c r="M171" s="4">
        <v>24961</v>
      </c>
      <c r="N171" s="7">
        <v>14400</v>
      </c>
      <c r="O171" s="7">
        <f t="shared" ref="O171:O180" si="21">(N171-G171*1000)</f>
        <v>0</v>
      </c>
      <c r="P171" s="6">
        <f t="shared" ref="P171:P180" si="22">(N171*J171/1000)</f>
        <v>19440</v>
      </c>
      <c r="Q171" s="6">
        <f>(P171*0.05)</f>
        <v>972</v>
      </c>
      <c r="R171" s="13">
        <v>5</v>
      </c>
      <c r="S171" s="1" t="s">
        <v>3</v>
      </c>
      <c r="T171" s="55"/>
    </row>
    <row r="172" spans="1:20" x14ac:dyDescent="0.3">
      <c r="A172" s="89" t="s">
        <v>83</v>
      </c>
      <c r="B172" s="135" t="s">
        <v>28</v>
      </c>
      <c r="C172" s="134" t="s">
        <v>67</v>
      </c>
      <c r="D172" s="75">
        <v>66</v>
      </c>
      <c r="E172" s="1">
        <v>4592</v>
      </c>
      <c r="F172" s="2">
        <v>45804</v>
      </c>
      <c r="G172" s="71">
        <v>11.54</v>
      </c>
      <c r="H172" s="4" t="s">
        <v>9</v>
      </c>
      <c r="I172" s="75">
        <f>(G172*1000/800)</f>
        <v>14.425000000000001</v>
      </c>
      <c r="J172" s="6">
        <v>1080</v>
      </c>
      <c r="K172" s="90">
        <v>45810</v>
      </c>
      <c r="L172" s="38">
        <v>46193</v>
      </c>
      <c r="M172" s="4">
        <v>25020</v>
      </c>
      <c r="N172" s="7">
        <v>1902</v>
      </c>
      <c r="O172" s="7">
        <f t="shared" si="21"/>
        <v>-9638</v>
      </c>
      <c r="P172" s="6">
        <f t="shared" si="22"/>
        <v>2054.16</v>
      </c>
      <c r="Q172" s="6">
        <v>143.69999999999999</v>
      </c>
      <c r="R172" s="1">
        <v>5</v>
      </c>
      <c r="S172" s="1"/>
      <c r="T172" s="55"/>
    </row>
    <row r="173" spans="1:20" x14ac:dyDescent="0.3">
      <c r="A173" s="89" t="s">
        <v>83</v>
      </c>
      <c r="B173" s="138" t="s">
        <v>28</v>
      </c>
      <c r="C173" s="136" t="s">
        <v>67</v>
      </c>
      <c r="D173" s="206">
        <v>66</v>
      </c>
      <c r="E173" s="19">
        <v>4592</v>
      </c>
      <c r="F173" s="39">
        <v>45804</v>
      </c>
      <c r="G173" s="41">
        <v>17.3</v>
      </c>
      <c r="H173" s="23" t="s">
        <v>9</v>
      </c>
      <c r="I173" s="23">
        <f>(G173*1000/800)</f>
        <v>21.625</v>
      </c>
      <c r="J173" s="28">
        <v>1080</v>
      </c>
      <c r="K173" s="92">
        <v>45810</v>
      </c>
      <c r="L173" s="93">
        <v>45822</v>
      </c>
      <c r="M173" s="23">
        <v>25003</v>
      </c>
      <c r="N173" s="20">
        <v>5760</v>
      </c>
      <c r="O173" s="20">
        <f t="shared" si="21"/>
        <v>-11540</v>
      </c>
      <c r="P173" s="28">
        <f t="shared" si="22"/>
        <v>6220.8</v>
      </c>
      <c r="Q173" s="28">
        <v>143.69999999999999</v>
      </c>
      <c r="R173" s="19">
        <v>5</v>
      </c>
      <c r="S173" s="1"/>
      <c r="T173" s="55"/>
    </row>
    <row r="174" spans="1:20" x14ac:dyDescent="0.3">
      <c r="A174" s="89" t="s">
        <v>83</v>
      </c>
      <c r="B174" s="135" t="s">
        <v>28</v>
      </c>
      <c r="C174" s="134" t="s">
        <v>67</v>
      </c>
      <c r="D174" s="75">
        <v>66</v>
      </c>
      <c r="E174" s="1">
        <v>4592</v>
      </c>
      <c r="F174" s="2">
        <v>45804</v>
      </c>
      <c r="G174" s="9">
        <v>20</v>
      </c>
      <c r="H174" s="4" t="s">
        <v>9</v>
      </c>
      <c r="I174" s="4">
        <f>(G174*1000/800)</f>
        <v>25</v>
      </c>
      <c r="J174" s="6">
        <v>1080</v>
      </c>
      <c r="K174" s="90">
        <v>45810</v>
      </c>
      <c r="L174" s="38">
        <v>45812</v>
      </c>
      <c r="M174" s="4">
        <v>24961</v>
      </c>
      <c r="N174" s="7">
        <v>2700</v>
      </c>
      <c r="O174" s="20">
        <f t="shared" si="21"/>
        <v>-17300</v>
      </c>
      <c r="P174" s="6">
        <f t="shared" si="22"/>
        <v>2916</v>
      </c>
      <c r="Q174" s="6">
        <v>143.69999999999999</v>
      </c>
      <c r="R174" s="1">
        <v>5</v>
      </c>
      <c r="S174" s="1" t="s">
        <v>3</v>
      </c>
      <c r="T174" s="55"/>
    </row>
    <row r="175" spans="1:20" x14ac:dyDescent="0.3">
      <c r="A175" s="89" t="s">
        <v>83</v>
      </c>
      <c r="B175" s="135" t="s">
        <v>28</v>
      </c>
      <c r="C175" s="134" t="s">
        <v>67</v>
      </c>
      <c r="D175" s="75">
        <v>66</v>
      </c>
      <c r="E175" s="1">
        <v>4592</v>
      </c>
      <c r="F175" s="2">
        <v>45804</v>
      </c>
      <c r="G175" s="111">
        <v>9.6379999999999999</v>
      </c>
      <c r="H175" s="4" t="s">
        <v>9</v>
      </c>
      <c r="I175" s="75">
        <f>(G175*1000/800)</f>
        <v>12.047499999999999</v>
      </c>
      <c r="J175" s="6">
        <v>1080</v>
      </c>
      <c r="K175" s="90">
        <v>45810</v>
      </c>
      <c r="L175" s="38">
        <v>45810</v>
      </c>
      <c r="M175" s="4">
        <v>25112</v>
      </c>
      <c r="N175" s="7">
        <v>1440</v>
      </c>
      <c r="O175" s="7">
        <f t="shared" si="21"/>
        <v>-8198</v>
      </c>
      <c r="P175" s="6">
        <f t="shared" si="22"/>
        <v>1555.2</v>
      </c>
      <c r="Q175" s="6">
        <v>143.69999999999999</v>
      </c>
      <c r="R175" s="1">
        <v>5</v>
      </c>
      <c r="S175" s="78" t="s">
        <v>3</v>
      </c>
      <c r="T175" s="55"/>
    </row>
    <row r="176" spans="1:20" x14ac:dyDescent="0.3">
      <c r="A176" s="89" t="s">
        <v>83</v>
      </c>
      <c r="B176" s="144" t="s">
        <v>28</v>
      </c>
      <c r="C176" s="133" t="s">
        <v>67</v>
      </c>
      <c r="D176" s="87">
        <v>66</v>
      </c>
      <c r="E176" s="80">
        <v>4592</v>
      </c>
      <c r="F176" s="81">
        <v>45804</v>
      </c>
      <c r="G176" s="113">
        <v>8.1980000000000004</v>
      </c>
      <c r="H176" s="83" t="s">
        <v>9</v>
      </c>
      <c r="I176" s="87">
        <f>(G176*1000/800)</f>
        <v>10.2475</v>
      </c>
      <c r="J176" s="84">
        <v>1080</v>
      </c>
      <c r="K176" s="114">
        <v>45810</v>
      </c>
      <c r="L176" s="115">
        <v>45810</v>
      </c>
      <c r="M176" s="83"/>
      <c r="N176" s="85">
        <v>8198</v>
      </c>
      <c r="O176" s="85">
        <f t="shared" si="21"/>
        <v>0</v>
      </c>
      <c r="P176" s="84">
        <f t="shared" si="22"/>
        <v>8853.84</v>
      </c>
      <c r="Q176" s="84">
        <v>143.69999999999999</v>
      </c>
      <c r="R176" s="80">
        <v>5</v>
      </c>
      <c r="S176" s="91"/>
      <c r="T176" s="79"/>
    </row>
    <row r="177" spans="1:20" x14ac:dyDescent="0.3">
      <c r="A177" s="89" t="s">
        <v>83</v>
      </c>
      <c r="B177" s="138" t="s">
        <v>28</v>
      </c>
      <c r="C177" s="136" t="s">
        <v>61</v>
      </c>
      <c r="D177" s="206">
        <v>67</v>
      </c>
      <c r="E177" s="19">
        <v>4759</v>
      </c>
      <c r="F177" s="32">
        <v>45804</v>
      </c>
      <c r="G177" s="33">
        <v>10</v>
      </c>
      <c r="H177" s="23" t="s">
        <v>9</v>
      </c>
      <c r="I177" s="23">
        <f>(G177*1000/400)</f>
        <v>25</v>
      </c>
      <c r="J177" s="28">
        <v>1350</v>
      </c>
      <c r="K177" s="92">
        <v>45824</v>
      </c>
      <c r="L177" s="93">
        <v>45822</v>
      </c>
      <c r="M177" s="23">
        <v>25003</v>
      </c>
      <c r="N177" s="20">
        <v>10000</v>
      </c>
      <c r="O177" s="20">
        <f t="shared" si="21"/>
        <v>0</v>
      </c>
      <c r="P177" s="28">
        <f t="shared" si="22"/>
        <v>13500</v>
      </c>
      <c r="Q177" s="28">
        <f>(P177*0.05)</f>
        <v>675</v>
      </c>
      <c r="R177" s="21">
        <v>5</v>
      </c>
      <c r="S177" s="94" t="s">
        <v>3</v>
      </c>
      <c r="T177" s="55"/>
    </row>
    <row r="178" spans="1:20" x14ac:dyDescent="0.3">
      <c r="A178" s="89" t="s">
        <v>83</v>
      </c>
      <c r="B178" s="138" t="s">
        <v>28</v>
      </c>
      <c r="C178" s="136" t="s">
        <v>66</v>
      </c>
      <c r="D178" s="206">
        <v>68</v>
      </c>
      <c r="E178" s="19">
        <v>4759</v>
      </c>
      <c r="F178" s="32">
        <v>45804</v>
      </c>
      <c r="G178" s="33">
        <v>10</v>
      </c>
      <c r="H178" s="23" t="s">
        <v>9</v>
      </c>
      <c r="I178" s="23">
        <f>(G178*1000/400)</f>
        <v>25</v>
      </c>
      <c r="J178" s="28">
        <v>1350</v>
      </c>
      <c r="K178" s="92">
        <v>45824</v>
      </c>
      <c r="L178" s="93">
        <v>45822</v>
      </c>
      <c r="M178" s="23">
        <v>25003</v>
      </c>
      <c r="N178" s="20">
        <v>10000</v>
      </c>
      <c r="O178" s="20">
        <f t="shared" si="21"/>
        <v>0</v>
      </c>
      <c r="P178" s="28">
        <f t="shared" si="22"/>
        <v>13500</v>
      </c>
      <c r="Q178" s="28">
        <f>(P178*0.05)</f>
        <v>675</v>
      </c>
      <c r="R178" s="21">
        <v>5</v>
      </c>
      <c r="S178" s="94" t="s">
        <v>3</v>
      </c>
      <c r="T178" s="55"/>
    </row>
    <row r="179" spans="1:20" x14ac:dyDescent="0.3">
      <c r="A179" s="89" t="s">
        <v>83</v>
      </c>
      <c r="B179" s="138" t="s">
        <v>28</v>
      </c>
      <c r="C179" s="136" t="s">
        <v>44</v>
      </c>
      <c r="D179" s="206">
        <v>69</v>
      </c>
      <c r="E179" s="19">
        <v>4759</v>
      </c>
      <c r="F179" s="32">
        <v>45804</v>
      </c>
      <c r="G179" s="33">
        <v>14.4</v>
      </c>
      <c r="H179" s="23" t="s">
        <v>9</v>
      </c>
      <c r="I179" s="23">
        <f>(G179*1000/400)</f>
        <v>36</v>
      </c>
      <c r="J179" s="28">
        <v>1350</v>
      </c>
      <c r="K179" s="92">
        <v>45824</v>
      </c>
      <c r="L179" s="93">
        <v>45822</v>
      </c>
      <c r="M179" s="23">
        <v>25003</v>
      </c>
      <c r="N179" s="20">
        <v>14400</v>
      </c>
      <c r="O179" s="20">
        <f t="shared" si="21"/>
        <v>0</v>
      </c>
      <c r="P179" s="28">
        <f t="shared" si="22"/>
        <v>19440</v>
      </c>
      <c r="Q179" s="28">
        <f>(P179*0.05)</f>
        <v>972</v>
      </c>
      <c r="R179" s="21">
        <v>5</v>
      </c>
      <c r="S179" s="94" t="s">
        <v>3</v>
      </c>
      <c r="T179" s="55"/>
    </row>
    <row r="180" spans="1:20" x14ac:dyDescent="0.3">
      <c r="A180" s="89" t="s">
        <v>83</v>
      </c>
      <c r="B180" s="138" t="s">
        <v>28</v>
      </c>
      <c r="C180" s="136" t="s">
        <v>55</v>
      </c>
      <c r="D180" s="206">
        <v>70</v>
      </c>
      <c r="E180" s="19">
        <v>4759</v>
      </c>
      <c r="F180" s="32">
        <v>45810</v>
      </c>
      <c r="G180" s="33">
        <v>28.8</v>
      </c>
      <c r="H180" s="23" t="s">
        <v>9</v>
      </c>
      <c r="I180" s="23">
        <v>72</v>
      </c>
      <c r="J180" s="28">
        <v>1350</v>
      </c>
      <c r="K180" s="92">
        <v>45824</v>
      </c>
      <c r="L180" s="93">
        <v>45822</v>
      </c>
      <c r="M180" s="19">
        <v>25002</v>
      </c>
      <c r="N180" s="20">
        <v>28800</v>
      </c>
      <c r="O180" s="20">
        <f t="shared" si="21"/>
        <v>0</v>
      </c>
      <c r="P180" s="28">
        <f t="shared" si="22"/>
        <v>38880</v>
      </c>
      <c r="Q180" s="28">
        <f>(P180*0.05)</f>
        <v>1944</v>
      </c>
      <c r="R180" s="21">
        <v>5</v>
      </c>
      <c r="S180" s="108" t="s">
        <v>3</v>
      </c>
      <c r="T180" s="55"/>
    </row>
    <row r="181" spans="1:20" x14ac:dyDescent="0.3">
      <c r="A181" s="89" t="s">
        <v>83</v>
      </c>
      <c r="B181" s="135" t="s">
        <v>28</v>
      </c>
      <c r="C181" s="134" t="s">
        <v>69</v>
      </c>
      <c r="D181" s="75">
        <v>71</v>
      </c>
      <c r="E181" s="1">
        <v>4759</v>
      </c>
      <c r="F181" s="11">
        <v>45810</v>
      </c>
      <c r="G181" s="71">
        <v>7.2</v>
      </c>
      <c r="H181" s="4" t="s">
        <v>9</v>
      </c>
      <c r="I181" s="4">
        <v>36</v>
      </c>
      <c r="J181" s="6">
        <v>1607.4</v>
      </c>
      <c r="K181" s="90">
        <v>45824</v>
      </c>
      <c r="L181" s="38">
        <v>45828</v>
      </c>
      <c r="M181" s="4">
        <v>25020</v>
      </c>
      <c r="N181" s="7">
        <v>7200</v>
      </c>
      <c r="O181" s="7">
        <v>0</v>
      </c>
      <c r="P181" s="10">
        <v>1572</v>
      </c>
      <c r="Q181" s="6">
        <v>143.69999999999999</v>
      </c>
      <c r="R181" s="1">
        <v>5</v>
      </c>
      <c r="S181" s="91" t="s">
        <v>3</v>
      </c>
      <c r="T181" s="55"/>
    </row>
    <row r="182" spans="1:20" x14ac:dyDescent="0.3">
      <c r="A182" s="89" t="s">
        <v>83</v>
      </c>
      <c r="B182" s="138" t="s">
        <v>28</v>
      </c>
      <c r="C182" s="136" t="s">
        <v>69</v>
      </c>
      <c r="D182" s="206">
        <v>71</v>
      </c>
      <c r="E182" s="19">
        <v>4759</v>
      </c>
      <c r="F182" s="32">
        <v>45810</v>
      </c>
      <c r="G182" s="41">
        <v>14.4</v>
      </c>
      <c r="H182" s="23" t="s">
        <v>9</v>
      </c>
      <c r="I182" s="23">
        <v>72</v>
      </c>
      <c r="J182" s="28">
        <v>1607.4</v>
      </c>
      <c r="K182" s="92">
        <v>45824</v>
      </c>
      <c r="L182" s="93">
        <v>45822</v>
      </c>
      <c r="M182" s="19">
        <v>25002</v>
      </c>
      <c r="N182" s="20">
        <v>7200</v>
      </c>
      <c r="O182" s="20">
        <v>0</v>
      </c>
      <c r="P182" s="25">
        <v>1572</v>
      </c>
      <c r="Q182" s="28">
        <v>143.69999999999999</v>
      </c>
      <c r="R182" s="19">
        <v>5</v>
      </c>
      <c r="S182" s="101" t="s">
        <v>3</v>
      </c>
      <c r="T182" s="55"/>
    </row>
    <row r="183" spans="1:20" x14ac:dyDescent="0.3">
      <c r="A183" s="89" t="s">
        <v>83</v>
      </c>
      <c r="B183" s="138" t="s">
        <v>28</v>
      </c>
      <c r="C183" s="136" t="s">
        <v>65</v>
      </c>
      <c r="D183" s="206">
        <v>72</v>
      </c>
      <c r="E183" s="19">
        <v>4759</v>
      </c>
      <c r="F183" s="32">
        <v>45810</v>
      </c>
      <c r="G183" s="41">
        <v>4.8</v>
      </c>
      <c r="H183" s="23" t="s">
        <v>9</v>
      </c>
      <c r="I183" s="23">
        <v>12</v>
      </c>
      <c r="J183" s="28">
        <v>1607.4</v>
      </c>
      <c r="K183" s="92">
        <v>45824</v>
      </c>
      <c r="L183" s="93">
        <v>45822</v>
      </c>
      <c r="M183" s="19">
        <v>25002</v>
      </c>
      <c r="N183" s="20">
        <v>4800</v>
      </c>
      <c r="O183" s="20">
        <v>0</v>
      </c>
      <c r="P183" s="25">
        <v>1572</v>
      </c>
      <c r="Q183" s="28">
        <v>143.69999999999999</v>
      </c>
      <c r="R183" s="19">
        <v>5</v>
      </c>
      <c r="S183" s="19" t="s">
        <v>3</v>
      </c>
      <c r="T183" s="55"/>
    </row>
    <row r="184" spans="1:20" x14ac:dyDescent="0.3">
      <c r="A184" s="89" t="s">
        <v>83</v>
      </c>
      <c r="B184" s="135" t="s">
        <v>28</v>
      </c>
      <c r="C184" s="134" t="s">
        <v>73</v>
      </c>
      <c r="D184" s="75">
        <v>73</v>
      </c>
      <c r="E184" s="1">
        <v>4759</v>
      </c>
      <c r="F184" s="11">
        <v>45813</v>
      </c>
      <c r="G184" s="12">
        <v>14.4</v>
      </c>
      <c r="H184" s="4" t="s">
        <v>9</v>
      </c>
      <c r="I184" s="4">
        <f>(G184*1000/400)</f>
        <v>36</v>
      </c>
      <c r="J184" s="6">
        <v>1350</v>
      </c>
      <c r="K184" s="90">
        <v>45824</v>
      </c>
      <c r="L184" s="38">
        <v>45828</v>
      </c>
      <c r="M184" s="4">
        <v>25020</v>
      </c>
      <c r="N184" s="7">
        <v>14400</v>
      </c>
      <c r="O184" s="7">
        <f t="shared" ref="O184:O215" si="23">(N184-G184*1000)</f>
        <v>0</v>
      </c>
      <c r="P184" s="6">
        <f t="shared" ref="P184:P189" si="24">(N184*J184/1000)</f>
        <v>19440</v>
      </c>
      <c r="Q184" s="6">
        <f t="shared" ref="Q184:Q197" si="25">(P184*0.05)</f>
        <v>972</v>
      </c>
      <c r="R184" s="13">
        <v>5</v>
      </c>
      <c r="S184" s="1" t="s">
        <v>3</v>
      </c>
      <c r="T184" s="55"/>
    </row>
    <row r="185" spans="1:20" x14ac:dyDescent="0.3">
      <c r="A185" s="89" t="s">
        <v>83</v>
      </c>
      <c r="B185" s="135" t="s">
        <v>28</v>
      </c>
      <c r="C185" s="134" t="s">
        <v>55</v>
      </c>
      <c r="D185" s="75">
        <v>75</v>
      </c>
      <c r="E185" s="1">
        <v>5417</v>
      </c>
      <c r="F185" s="11">
        <v>45838</v>
      </c>
      <c r="G185" s="54">
        <v>75</v>
      </c>
      <c r="H185" s="4" t="s">
        <v>9</v>
      </c>
      <c r="I185" s="4">
        <v>187.5</v>
      </c>
      <c r="J185" s="6">
        <v>1350</v>
      </c>
      <c r="K185" s="90">
        <v>45859</v>
      </c>
      <c r="L185" s="38">
        <v>45861</v>
      </c>
      <c r="M185" s="1">
        <v>25175</v>
      </c>
      <c r="N185" s="7">
        <v>76000</v>
      </c>
      <c r="O185" s="7">
        <f t="shared" si="23"/>
        <v>1000</v>
      </c>
      <c r="P185" s="6">
        <f t="shared" si="24"/>
        <v>102600</v>
      </c>
      <c r="Q185" s="6">
        <f t="shared" si="25"/>
        <v>5130</v>
      </c>
      <c r="R185" s="13">
        <v>5</v>
      </c>
      <c r="S185" s="19" t="s">
        <v>3</v>
      </c>
      <c r="T185" s="55"/>
    </row>
    <row r="186" spans="1:20" x14ac:dyDescent="0.3">
      <c r="A186" s="89" t="s">
        <v>83</v>
      </c>
      <c r="B186" s="135" t="s">
        <v>28</v>
      </c>
      <c r="C186" s="134" t="s">
        <v>59</v>
      </c>
      <c r="D186" s="75">
        <v>76</v>
      </c>
      <c r="E186" s="1">
        <v>5417</v>
      </c>
      <c r="F186" s="11">
        <v>45841</v>
      </c>
      <c r="G186" s="37">
        <v>15</v>
      </c>
      <c r="H186" s="4" t="s">
        <v>9</v>
      </c>
      <c r="I186" s="4">
        <f>(G186*1000/400)</f>
        <v>37.5</v>
      </c>
      <c r="J186" s="6">
        <v>1350</v>
      </c>
      <c r="K186" s="90">
        <v>45859</v>
      </c>
      <c r="L186" s="38">
        <v>45861</v>
      </c>
      <c r="M186" s="4">
        <v>25175</v>
      </c>
      <c r="N186" s="7">
        <v>15200</v>
      </c>
      <c r="O186" s="7">
        <f t="shared" si="23"/>
        <v>200</v>
      </c>
      <c r="P186" s="6">
        <f t="shared" si="24"/>
        <v>20520</v>
      </c>
      <c r="Q186" s="6">
        <f t="shared" si="25"/>
        <v>1026</v>
      </c>
      <c r="R186" s="13">
        <v>5</v>
      </c>
      <c r="S186" s="19" t="s">
        <v>3</v>
      </c>
      <c r="T186" s="55"/>
    </row>
    <row r="187" spans="1:20" x14ac:dyDescent="0.3">
      <c r="A187" s="89" t="s">
        <v>83</v>
      </c>
      <c r="B187" s="135" t="s">
        <v>28</v>
      </c>
      <c r="C187" s="134" t="s">
        <v>72</v>
      </c>
      <c r="D187" s="75">
        <v>77</v>
      </c>
      <c r="E187" s="1">
        <v>5417</v>
      </c>
      <c r="F187" s="11">
        <v>45842</v>
      </c>
      <c r="G187" s="12">
        <v>14.4</v>
      </c>
      <c r="H187" s="4" t="s">
        <v>9</v>
      </c>
      <c r="I187" s="4">
        <f>(G187*1000/400)</f>
        <v>36</v>
      </c>
      <c r="J187" s="6">
        <v>1350</v>
      </c>
      <c r="K187" s="90">
        <v>45859</v>
      </c>
      <c r="L187" s="38">
        <v>45861</v>
      </c>
      <c r="M187" s="4">
        <v>25175</v>
      </c>
      <c r="N187" s="7">
        <v>14400</v>
      </c>
      <c r="O187" s="7">
        <f t="shared" si="23"/>
        <v>0</v>
      </c>
      <c r="P187" s="6">
        <f t="shared" si="24"/>
        <v>19440</v>
      </c>
      <c r="Q187" s="6">
        <f t="shared" si="25"/>
        <v>972</v>
      </c>
      <c r="R187" s="13">
        <v>5</v>
      </c>
      <c r="S187" s="19" t="s">
        <v>3</v>
      </c>
      <c r="T187" s="55"/>
    </row>
    <row r="188" spans="1:20" x14ac:dyDescent="0.3">
      <c r="A188" s="89" t="s">
        <v>83</v>
      </c>
      <c r="B188" s="138" t="s">
        <v>28</v>
      </c>
      <c r="C188" s="136" t="s">
        <v>55</v>
      </c>
      <c r="D188" s="206">
        <v>78</v>
      </c>
      <c r="E188" s="19"/>
      <c r="F188" s="32">
        <v>45842</v>
      </c>
      <c r="G188" s="50">
        <v>75</v>
      </c>
      <c r="H188" s="23" t="s">
        <v>9</v>
      </c>
      <c r="I188" s="23">
        <v>187.5</v>
      </c>
      <c r="J188" s="28">
        <v>1350</v>
      </c>
      <c r="K188" s="92">
        <v>45887</v>
      </c>
      <c r="L188" s="93">
        <v>45884</v>
      </c>
      <c r="M188" s="19">
        <v>25270</v>
      </c>
      <c r="N188" s="20">
        <v>76000</v>
      </c>
      <c r="O188" s="20">
        <f t="shared" si="23"/>
        <v>1000</v>
      </c>
      <c r="P188" s="28">
        <f t="shared" si="24"/>
        <v>102600</v>
      </c>
      <c r="Q188" s="28">
        <f t="shared" si="25"/>
        <v>5130</v>
      </c>
      <c r="R188" s="21">
        <v>5</v>
      </c>
      <c r="S188" s="1" t="s">
        <v>3</v>
      </c>
      <c r="T188" s="55"/>
    </row>
    <row r="189" spans="1:20" x14ac:dyDescent="0.3">
      <c r="A189" s="89" t="s">
        <v>83</v>
      </c>
      <c r="B189" s="138" t="s">
        <v>28</v>
      </c>
      <c r="C189" s="136" t="s">
        <v>55</v>
      </c>
      <c r="D189" s="206">
        <v>79</v>
      </c>
      <c r="E189" s="19"/>
      <c r="F189" s="32">
        <v>45842</v>
      </c>
      <c r="G189" s="50">
        <v>75</v>
      </c>
      <c r="H189" s="23" t="s">
        <v>9</v>
      </c>
      <c r="I189" s="23">
        <v>187.5</v>
      </c>
      <c r="J189" s="28">
        <v>1350</v>
      </c>
      <c r="K189" s="92">
        <v>45902</v>
      </c>
      <c r="L189" s="93">
        <v>45894</v>
      </c>
      <c r="M189" s="19">
        <v>25341</v>
      </c>
      <c r="N189" s="20">
        <v>76000</v>
      </c>
      <c r="O189" s="20">
        <f t="shared" si="23"/>
        <v>1000</v>
      </c>
      <c r="P189" s="28">
        <f t="shared" si="24"/>
        <v>102600</v>
      </c>
      <c r="Q189" s="28">
        <f t="shared" si="25"/>
        <v>5130</v>
      </c>
      <c r="R189" s="21">
        <v>5</v>
      </c>
      <c r="S189" s="91" t="s">
        <v>3</v>
      </c>
      <c r="T189" s="55"/>
    </row>
    <row r="190" spans="1:20" x14ac:dyDescent="0.3">
      <c r="A190" s="89" t="s">
        <v>83</v>
      </c>
      <c r="B190" s="135" t="s">
        <v>28</v>
      </c>
      <c r="C190" s="134" t="s">
        <v>51</v>
      </c>
      <c r="D190" s="75">
        <v>80</v>
      </c>
      <c r="E190" s="1">
        <v>7209</v>
      </c>
      <c r="F190" s="11">
        <v>45910</v>
      </c>
      <c r="G190" s="17">
        <v>15</v>
      </c>
      <c r="H190" s="4" t="s">
        <v>9</v>
      </c>
      <c r="I190" s="4">
        <f t="shared" ref="I190:I197" si="26">(G190*1000/400)</f>
        <v>37.5</v>
      </c>
      <c r="J190" s="6">
        <v>1350</v>
      </c>
      <c r="K190" s="90">
        <v>45922</v>
      </c>
      <c r="L190" s="38">
        <v>45912</v>
      </c>
      <c r="M190" s="1">
        <v>25458</v>
      </c>
      <c r="N190" s="7">
        <v>15200</v>
      </c>
      <c r="O190" s="7">
        <f t="shared" si="23"/>
        <v>200</v>
      </c>
      <c r="P190" s="6">
        <f>(J190*G190)</f>
        <v>20250</v>
      </c>
      <c r="Q190" s="6">
        <f t="shared" si="25"/>
        <v>1012.5</v>
      </c>
      <c r="R190" s="18">
        <v>5</v>
      </c>
      <c r="S190" s="19"/>
      <c r="T190" s="55"/>
    </row>
    <row r="191" spans="1:20" x14ac:dyDescent="0.3">
      <c r="A191" s="89" t="s">
        <v>83</v>
      </c>
      <c r="B191" s="135" t="s">
        <v>28</v>
      </c>
      <c r="C191" s="134" t="s">
        <v>66</v>
      </c>
      <c r="D191" s="75">
        <v>81</v>
      </c>
      <c r="E191" s="1">
        <v>7209</v>
      </c>
      <c r="F191" s="11">
        <v>45910</v>
      </c>
      <c r="G191" s="54">
        <v>10</v>
      </c>
      <c r="H191" s="4" t="s">
        <v>9</v>
      </c>
      <c r="I191" s="4">
        <f t="shared" si="26"/>
        <v>25</v>
      </c>
      <c r="J191" s="6">
        <v>1350</v>
      </c>
      <c r="K191" s="90">
        <v>45922</v>
      </c>
      <c r="L191" s="38">
        <v>45912</v>
      </c>
      <c r="M191" s="1">
        <v>25458</v>
      </c>
      <c r="N191" s="7">
        <v>10000</v>
      </c>
      <c r="O191" s="7">
        <f t="shared" si="23"/>
        <v>0</v>
      </c>
      <c r="P191" s="6">
        <f t="shared" ref="P191:P197" si="27">(N191*J191/1000)</f>
        <v>13500</v>
      </c>
      <c r="Q191" s="6">
        <f t="shared" si="25"/>
        <v>675</v>
      </c>
      <c r="R191" s="13">
        <v>5</v>
      </c>
      <c r="S191" s="19"/>
      <c r="T191" s="55"/>
    </row>
    <row r="192" spans="1:20" x14ac:dyDescent="0.3">
      <c r="A192" s="89" t="s">
        <v>83</v>
      </c>
      <c r="B192" s="135" t="s">
        <v>28</v>
      </c>
      <c r="C192" s="134" t="s">
        <v>59</v>
      </c>
      <c r="D192" s="75">
        <v>82</v>
      </c>
      <c r="E192" s="1">
        <v>7209</v>
      </c>
      <c r="F192" s="11">
        <v>45910</v>
      </c>
      <c r="G192" s="54">
        <v>15</v>
      </c>
      <c r="H192" s="4" t="s">
        <v>9</v>
      </c>
      <c r="I192" s="4">
        <f t="shared" si="26"/>
        <v>37.5</v>
      </c>
      <c r="J192" s="6">
        <v>1350</v>
      </c>
      <c r="K192" s="90">
        <v>45915</v>
      </c>
      <c r="L192" s="38">
        <v>45912</v>
      </c>
      <c r="M192" s="1">
        <v>25458</v>
      </c>
      <c r="N192" s="7">
        <v>15200</v>
      </c>
      <c r="O192" s="7">
        <f t="shared" si="23"/>
        <v>200</v>
      </c>
      <c r="P192" s="6">
        <f t="shared" si="27"/>
        <v>20520</v>
      </c>
      <c r="Q192" s="6">
        <f t="shared" si="25"/>
        <v>1026</v>
      </c>
      <c r="R192" s="13">
        <v>5</v>
      </c>
      <c r="S192" s="42"/>
      <c r="T192" s="55"/>
    </row>
    <row r="193" spans="1:20" x14ac:dyDescent="0.3">
      <c r="A193" s="89" t="s">
        <v>83</v>
      </c>
      <c r="B193" s="135" t="s">
        <v>28</v>
      </c>
      <c r="C193" s="134" t="s">
        <v>55</v>
      </c>
      <c r="D193" s="75">
        <v>83</v>
      </c>
      <c r="E193" s="1">
        <v>7209</v>
      </c>
      <c r="F193" s="11">
        <v>45911</v>
      </c>
      <c r="G193" s="54">
        <v>15</v>
      </c>
      <c r="H193" s="4" t="s">
        <v>9</v>
      </c>
      <c r="I193" s="4">
        <f t="shared" si="26"/>
        <v>37.5</v>
      </c>
      <c r="J193" s="6">
        <v>1350</v>
      </c>
      <c r="K193" s="90">
        <v>45915</v>
      </c>
      <c r="L193" s="38">
        <v>45912</v>
      </c>
      <c r="M193" s="1">
        <v>25458</v>
      </c>
      <c r="N193" s="7">
        <v>15200</v>
      </c>
      <c r="O193" s="7">
        <f t="shared" si="23"/>
        <v>200</v>
      </c>
      <c r="P193" s="6">
        <f t="shared" si="27"/>
        <v>20520</v>
      </c>
      <c r="Q193" s="6">
        <f t="shared" si="25"/>
        <v>1026</v>
      </c>
      <c r="R193" s="13">
        <v>5</v>
      </c>
      <c r="S193" s="91"/>
      <c r="T193" s="55"/>
    </row>
    <row r="194" spans="1:20" x14ac:dyDescent="0.3">
      <c r="A194" s="89" t="s">
        <v>83</v>
      </c>
      <c r="B194" s="138" t="s">
        <v>28</v>
      </c>
      <c r="C194" s="136" t="s">
        <v>79</v>
      </c>
      <c r="D194" s="206">
        <v>84</v>
      </c>
      <c r="E194" s="19"/>
      <c r="F194" s="32">
        <v>45916</v>
      </c>
      <c r="G194" s="33">
        <v>10</v>
      </c>
      <c r="H194" s="23" t="s">
        <v>9</v>
      </c>
      <c r="I194" s="23">
        <f t="shared" si="26"/>
        <v>25</v>
      </c>
      <c r="J194" s="28">
        <v>1350</v>
      </c>
      <c r="K194" s="92">
        <v>45919</v>
      </c>
      <c r="L194" s="93">
        <v>45919</v>
      </c>
      <c r="M194" s="23">
        <v>25492</v>
      </c>
      <c r="N194" s="20">
        <v>10000</v>
      </c>
      <c r="O194" s="20">
        <f t="shared" si="23"/>
        <v>0</v>
      </c>
      <c r="P194" s="28">
        <f t="shared" si="27"/>
        <v>13500</v>
      </c>
      <c r="Q194" s="28">
        <f t="shared" si="25"/>
        <v>675</v>
      </c>
      <c r="R194" s="21">
        <v>5</v>
      </c>
      <c r="S194" s="91"/>
      <c r="T194" s="79"/>
    </row>
    <row r="195" spans="1:20" x14ac:dyDescent="0.3">
      <c r="A195" s="89" t="s">
        <v>83</v>
      </c>
      <c r="B195" s="135" t="s">
        <v>28</v>
      </c>
      <c r="C195" s="134" t="s">
        <v>61</v>
      </c>
      <c r="D195" s="75">
        <v>85</v>
      </c>
      <c r="E195" s="1">
        <v>7551</v>
      </c>
      <c r="F195" s="11">
        <v>45926</v>
      </c>
      <c r="G195" s="12">
        <v>10</v>
      </c>
      <c r="H195" s="4" t="s">
        <v>9</v>
      </c>
      <c r="I195" s="4">
        <f t="shared" si="26"/>
        <v>25</v>
      </c>
      <c r="J195" s="6">
        <v>1350</v>
      </c>
      <c r="K195" s="90">
        <v>45943</v>
      </c>
      <c r="L195" s="38">
        <v>45940</v>
      </c>
      <c r="M195" s="4">
        <v>25633</v>
      </c>
      <c r="N195" s="7">
        <v>10000</v>
      </c>
      <c r="O195" s="7">
        <f t="shared" si="23"/>
        <v>0</v>
      </c>
      <c r="P195" s="6">
        <f t="shared" si="27"/>
        <v>13500</v>
      </c>
      <c r="Q195" s="6">
        <f t="shared" si="25"/>
        <v>675</v>
      </c>
      <c r="R195" s="13">
        <v>5</v>
      </c>
      <c r="S195" s="91"/>
      <c r="T195" s="79"/>
    </row>
    <row r="196" spans="1:20" x14ac:dyDescent="0.3">
      <c r="A196" s="89" t="s">
        <v>83</v>
      </c>
      <c r="B196" s="135" t="s">
        <v>28</v>
      </c>
      <c r="C196" s="134" t="s">
        <v>55</v>
      </c>
      <c r="D196" s="75">
        <v>86</v>
      </c>
      <c r="E196" s="1">
        <v>7551</v>
      </c>
      <c r="F196" s="11">
        <v>45926</v>
      </c>
      <c r="G196" s="12">
        <v>57.6</v>
      </c>
      <c r="H196" s="4" t="s">
        <v>9</v>
      </c>
      <c r="I196" s="4">
        <f t="shared" si="26"/>
        <v>144</v>
      </c>
      <c r="J196" s="6">
        <v>1350</v>
      </c>
      <c r="K196" s="90">
        <v>45943</v>
      </c>
      <c r="L196" s="38">
        <v>45940</v>
      </c>
      <c r="M196" s="4">
        <v>25633</v>
      </c>
      <c r="N196" s="7">
        <v>58000</v>
      </c>
      <c r="O196" s="7">
        <f t="shared" si="23"/>
        <v>400</v>
      </c>
      <c r="P196" s="6">
        <f t="shared" si="27"/>
        <v>78300</v>
      </c>
      <c r="Q196" s="6">
        <f t="shared" si="25"/>
        <v>3915</v>
      </c>
      <c r="R196" s="13">
        <v>5</v>
      </c>
      <c r="S196" s="91"/>
      <c r="T196" s="79"/>
    </row>
    <row r="197" spans="1:20" x14ac:dyDescent="0.3">
      <c r="A197" s="89" t="s">
        <v>83</v>
      </c>
      <c r="B197" s="135" t="s">
        <v>28</v>
      </c>
      <c r="C197" s="134" t="s">
        <v>59</v>
      </c>
      <c r="D197" s="75">
        <v>87</v>
      </c>
      <c r="E197" s="1">
        <v>7551</v>
      </c>
      <c r="F197" s="11">
        <v>45926</v>
      </c>
      <c r="G197" s="12">
        <v>7.2</v>
      </c>
      <c r="H197" s="4" t="s">
        <v>9</v>
      </c>
      <c r="I197" s="4">
        <f t="shared" si="26"/>
        <v>18</v>
      </c>
      <c r="J197" s="6">
        <v>1350</v>
      </c>
      <c r="K197" s="90">
        <v>45943</v>
      </c>
      <c r="L197" s="38">
        <v>45940</v>
      </c>
      <c r="M197" s="4">
        <v>25633</v>
      </c>
      <c r="N197" s="7">
        <v>7200</v>
      </c>
      <c r="O197" s="7">
        <f t="shared" si="23"/>
        <v>0</v>
      </c>
      <c r="P197" s="6">
        <f t="shared" si="27"/>
        <v>9720</v>
      </c>
      <c r="Q197" s="6">
        <f t="shared" si="25"/>
        <v>486</v>
      </c>
      <c r="R197" s="13">
        <v>5</v>
      </c>
      <c r="S197" s="91"/>
      <c r="T197" s="79"/>
    </row>
    <row r="198" spans="1:20" x14ac:dyDescent="0.3">
      <c r="A198" s="89" t="s">
        <v>83</v>
      </c>
      <c r="B198" s="135" t="s">
        <v>28</v>
      </c>
      <c r="C198" s="134" t="s">
        <v>69</v>
      </c>
      <c r="D198" s="75">
        <v>88</v>
      </c>
      <c r="E198" s="1">
        <v>7551</v>
      </c>
      <c r="F198" s="11">
        <v>45926</v>
      </c>
      <c r="G198" s="71">
        <v>8.4</v>
      </c>
      <c r="H198" s="4" t="s">
        <v>9</v>
      </c>
      <c r="I198" s="4">
        <f>(G198*1000/200)</f>
        <v>42</v>
      </c>
      <c r="J198" s="6">
        <v>1607.4</v>
      </c>
      <c r="K198" s="90">
        <v>45943</v>
      </c>
      <c r="L198" s="38">
        <v>45940</v>
      </c>
      <c r="M198" s="4">
        <v>25633</v>
      </c>
      <c r="N198" s="7">
        <v>8400</v>
      </c>
      <c r="O198" s="7">
        <f t="shared" si="23"/>
        <v>0</v>
      </c>
      <c r="P198" s="10">
        <v>1572</v>
      </c>
      <c r="Q198" s="6">
        <v>143.69999999999999</v>
      </c>
      <c r="R198" s="1">
        <v>5</v>
      </c>
      <c r="S198" s="91"/>
      <c r="T198" s="79"/>
    </row>
    <row r="199" spans="1:20" x14ac:dyDescent="0.3">
      <c r="A199" s="89" t="s">
        <v>83</v>
      </c>
      <c r="B199" s="135" t="s">
        <v>28</v>
      </c>
      <c r="C199" s="134" t="s">
        <v>65</v>
      </c>
      <c r="D199" s="75">
        <v>89</v>
      </c>
      <c r="E199" s="1">
        <v>7551</v>
      </c>
      <c r="F199" s="11">
        <v>45926</v>
      </c>
      <c r="G199" s="71">
        <v>4.2</v>
      </c>
      <c r="H199" s="4" t="s">
        <v>9</v>
      </c>
      <c r="I199" s="4">
        <f>(G199*1000/400)</f>
        <v>10.5</v>
      </c>
      <c r="J199" s="6">
        <v>1607.4</v>
      </c>
      <c r="K199" s="90">
        <v>45943</v>
      </c>
      <c r="L199" s="38">
        <v>45940</v>
      </c>
      <c r="M199" s="4">
        <v>25633</v>
      </c>
      <c r="N199" s="7">
        <v>4600</v>
      </c>
      <c r="O199" s="7">
        <f t="shared" si="23"/>
        <v>400</v>
      </c>
      <c r="P199" s="10">
        <v>1572</v>
      </c>
      <c r="Q199" s="6">
        <v>143.69999999999999</v>
      </c>
      <c r="R199" s="1">
        <v>5</v>
      </c>
      <c r="S199" s="91"/>
      <c r="T199" s="79"/>
    </row>
    <row r="200" spans="1:20" x14ac:dyDescent="0.3">
      <c r="A200" s="89" t="s">
        <v>83</v>
      </c>
      <c r="B200" s="135" t="s">
        <v>28</v>
      </c>
      <c r="C200" s="134" t="s">
        <v>79</v>
      </c>
      <c r="D200" s="75">
        <v>90</v>
      </c>
      <c r="E200" s="1">
        <v>7551</v>
      </c>
      <c r="F200" s="11">
        <v>45939</v>
      </c>
      <c r="G200" s="12">
        <v>10</v>
      </c>
      <c r="H200" s="4" t="s">
        <v>9</v>
      </c>
      <c r="I200" s="4">
        <f>(G200*1000/400)</f>
        <v>25</v>
      </c>
      <c r="J200" s="6">
        <v>1350</v>
      </c>
      <c r="K200" s="90">
        <v>45943</v>
      </c>
      <c r="L200" s="38">
        <v>45940</v>
      </c>
      <c r="M200" s="4">
        <v>25633</v>
      </c>
      <c r="N200" s="7">
        <v>10000</v>
      </c>
      <c r="O200" s="7">
        <f t="shared" si="23"/>
        <v>0</v>
      </c>
      <c r="P200" s="6">
        <f>(N200*J200/1000)</f>
        <v>13500</v>
      </c>
      <c r="Q200" s="6">
        <f t="shared" ref="Q200:Q236" si="28">(P200*0.05)</f>
        <v>675</v>
      </c>
      <c r="R200" s="13">
        <v>5</v>
      </c>
      <c r="S200" s="78"/>
    </row>
    <row r="201" spans="1:20" x14ac:dyDescent="0.3">
      <c r="A201" s="89" t="s">
        <v>83</v>
      </c>
      <c r="B201" s="135" t="s">
        <v>28</v>
      </c>
      <c r="C201" s="136" t="s">
        <v>51</v>
      </c>
      <c r="D201" s="206">
        <v>565</v>
      </c>
      <c r="E201" s="19" t="s">
        <v>10</v>
      </c>
      <c r="F201" s="32">
        <v>45841</v>
      </c>
      <c r="G201" s="26">
        <v>3</v>
      </c>
      <c r="H201" s="23" t="s">
        <v>9</v>
      </c>
      <c r="I201" s="23">
        <f>(G201*1000/400)</f>
        <v>7.5</v>
      </c>
      <c r="J201" s="28">
        <v>1328</v>
      </c>
      <c r="K201" s="92">
        <v>45848</v>
      </c>
      <c r="L201" s="93">
        <v>45849</v>
      </c>
      <c r="M201" s="19">
        <v>25111</v>
      </c>
      <c r="N201" s="20">
        <v>3200</v>
      </c>
      <c r="O201" s="20">
        <f t="shared" si="23"/>
        <v>200</v>
      </c>
      <c r="P201" s="28">
        <f>(J201*G201)</f>
        <v>3984</v>
      </c>
      <c r="Q201" s="28">
        <f t="shared" si="28"/>
        <v>199.20000000000002</v>
      </c>
      <c r="R201" s="29">
        <v>5</v>
      </c>
      <c r="S201" s="19" t="s">
        <v>3</v>
      </c>
      <c r="T201" s="55"/>
    </row>
    <row r="202" spans="1:20" x14ac:dyDescent="0.3">
      <c r="A202" s="89" t="s">
        <v>83</v>
      </c>
      <c r="B202" s="135" t="s">
        <v>19</v>
      </c>
      <c r="C202" s="135" t="s">
        <v>52</v>
      </c>
      <c r="D202" s="75">
        <v>102</v>
      </c>
      <c r="E202" s="1" t="s">
        <v>29</v>
      </c>
      <c r="F202" s="2">
        <v>45582</v>
      </c>
      <c r="G202" s="3">
        <v>56</v>
      </c>
      <c r="H202" s="4" t="s">
        <v>9</v>
      </c>
      <c r="I202" s="5">
        <v>112</v>
      </c>
      <c r="J202" s="6">
        <v>515</v>
      </c>
      <c r="K202" s="90">
        <v>45593</v>
      </c>
      <c r="L202" s="38">
        <v>45664</v>
      </c>
      <c r="M202" s="4">
        <v>24028</v>
      </c>
      <c r="N202" s="7">
        <v>56000</v>
      </c>
      <c r="O202" s="7">
        <f t="shared" si="23"/>
        <v>0</v>
      </c>
      <c r="P202" s="10">
        <f t="shared" ref="P202:P237" si="29">(N202*J202/1000)</f>
        <v>28840</v>
      </c>
      <c r="Q202" s="6">
        <f t="shared" si="28"/>
        <v>1442</v>
      </c>
      <c r="R202" s="1">
        <v>5</v>
      </c>
      <c r="S202" s="78" t="s">
        <v>3</v>
      </c>
      <c r="T202" s="8"/>
    </row>
    <row r="203" spans="1:20" x14ac:dyDescent="0.3">
      <c r="A203" s="89" t="s">
        <v>83</v>
      </c>
      <c r="B203" s="135" t="s">
        <v>19</v>
      </c>
      <c r="C203" s="135" t="s">
        <v>52</v>
      </c>
      <c r="D203" s="75">
        <v>106</v>
      </c>
      <c r="E203" s="1" t="s">
        <v>12</v>
      </c>
      <c r="F203" s="2">
        <v>45622</v>
      </c>
      <c r="G203" s="3">
        <v>200</v>
      </c>
      <c r="H203" s="4" t="s">
        <v>9</v>
      </c>
      <c r="I203" s="5">
        <v>400</v>
      </c>
      <c r="J203" s="6">
        <v>515</v>
      </c>
      <c r="K203" s="90">
        <v>45639</v>
      </c>
      <c r="L203" s="38">
        <v>45664</v>
      </c>
      <c r="M203" s="4">
        <v>24028</v>
      </c>
      <c r="N203" s="7">
        <v>119000</v>
      </c>
      <c r="O203" s="7">
        <f t="shared" si="23"/>
        <v>-81000</v>
      </c>
      <c r="P203" s="10">
        <f t="shared" si="29"/>
        <v>61285</v>
      </c>
      <c r="Q203" s="6">
        <f t="shared" si="28"/>
        <v>3064.25</v>
      </c>
      <c r="R203" s="1">
        <v>5</v>
      </c>
      <c r="S203" s="78" t="s">
        <v>3</v>
      </c>
      <c r="T203" s="8"/>
    </row>
    <row r="204" spans="1:20" x14ac:dyDescent="0.3">
      <c r="A204" s="89" t="s">
        <v>83</v>
      </c>
      <c r="B204" s="135" t="s">
        <v>19</v>
      </c>
      <c r="C204" s="135" t="s">
        <v>53</v>
      </c>
      <c r="D204" s="75">
        <v>107</v>
      </c>
      <c r="E204" s="1" t="s">
        <v>12</v>
      </c>
      <c r="F204" s="2">
        <v>45622</v>
      </c>
      <c r="G204" s="9">
        <v>60</v>
      </c>
      <c r="H204" s="4" t="s">
        <v>9</v>
      </c>
      <c r="I204" s="4">
        <v>120</v>
      </c>
      <c r="J204" s="6">
        <v>613</v>
      </c>
      <c r="K204" s="90">
        <v>45639</v>
      </c>
      <c r="L204" s="38">
        <v>45664</v>
      </c>
      <c r="M204" s="4">
        <v>24028</v>
      </c>
      <c r="N204" s="7">
        <v>64000</v>
      </c>
      <c r="O204" s="7">
        <f t="shared" si="23"/>
        <v>4000</v>
      </c>
      <c r="P204" s="10">
        <f t="shared" si="29"/>
        <v>39232</v>
      </c>
      <c r="Q204" s="6">
        <f t="shared" si="28"/>
        <v>1961.6000000000001</v>
      </c>
      <c r="R204" s="1">
        <v>5</v>
      </c>
      <c r="S204" s="78" t="s">
        <v>3</v>
      </c>
      <c r="T204" s="8"/>
    </row>
    <row r="205" spans="1:20" x14ac:dyDescent="0.3">
      <c r="A205" s="89" t="s">
        <v>83</v>
      </c>
      <c r="B205" s="135" t="s">
        <v>19</v>
      </c>
      <c r="C205" s="135" t="s">
        <v>54</v>
      </c>
      <c r="D205" s="75">
        <v>108</v>
      </c>
      <c r="E205" s="1" t="s">
        <v>12</v>
      </c>
      <c r="F205" s="2">
        <v>45622</v>
      </c>
      <c r="G205" s="9">
        <v>35</v>
      </c>
      <c r="H205" s="4" t="s">
        <v>9</v>
      </c>
      <c r="I205" s="4">
        <v>87.5</v>
      </c>
      <c r="J205" s="6">
        <v>1027</v>
      </c>
      <c r="K205" s="90">
        <v>45639</v>
      </c>
      <c r="L205" s="38">
        <v>45664</v>
      </c>
      <c r="M205" s="4">
        <v>24028</v>
      </c>
      <c r="N205" s="7">
        <v>33000</v>
      </c>
      <c r="O205" s="7">
        <f t="shared" si="23"/>
        <v>-2000</v>
      </c>
      <c r="P205" s="10">
        <f t="shared" si="29"/>
        <v>33891</v>
      </c>
      <c r="Q205" s="6">
        <f t="shared" si="28"/>
        <v>1694.5500000000002</v>
      </c>
      <c r="R205" s="1">
        <v>5</v>
      </c>
      <c r="S205" s="78" t="s">
        <v>3</v>
      </c>
      <c r="T205" s="8"/>
    </row>
    <row r="206" spans="1:20" x14ac:dyDescent="0.3">
      <c r="A206" s="89" t="s">
        <v>83</v>
      </c>
      <c r="B206" s="138" t="s">
        <v>19</v>
      </c>
      <c r="C206" s="138" t="s">
        <v>52</v>
      </c>
      <c r="D206" s="206">
        <v>109</v>
      </c>
      <c r="E206" s="19" t="s">
        <v>12</v>
      </c>
      <c r="F206" s="39">
        <v>45622</v>
      </c>
      <c r="G206" s="22">
        <v>123</v>
      </c>
      <c r="H206" s="23" t="s">
        <v>9</v>
      </c>
      <c r="I206" s="30">
        <v>246</v>
      </c>
      <c r="J206" s="28">
        <v>515</v>
      </c>
      <c r="K206" s="92">
        <v>45667</v>
      </c>
      <c r="L206" s="93">
        <v>45721</v>
      </c>
      <c r="M206" s="23">
        <v>24458</v>
      </c>
      <c r="N206" s="20">
        <v>123000</v>
      </c>
      <c r="O206" s="20">
        <f t="shared" si="23"/>
        <v>0</v>
      </c>
      <c r="P206" s="25">
        <f t="shared" si="29"/>
        <v>63345</v>
      </c>
      <c r="Q206" s="28">
        <f t="shared" si="28"/>
        <v>3167.25</v>
      </c>
      <c r="R206" s="19">
        <v>5</v>
      </c>
      <c r="S206" s="1" t="s">
        <v>3</v>
      </c>
      <c r="T206" s="8"/>
    </row>
    <row r="207" spans="1:20" x14ac:dyDescent="0.3">
      <c r="A207" s="89" t="s">
        <v>83</v>
      </c>
      <c r="B207" s="135" t="s">
        <v>19</v>
      </c>
      <c r="C207" s="135" t="s">
        <v>52</v>
      </c>
      <c r="D207" s="75">
        <v>109</v>
      </c>
      <c r="E207" s="1" t="s">
        <v>12</v>
      </c>
      <c r="F207" s="2">
        <v>45622</v>
      </c>
      <c r="G207" s="3">
        <v>149.5</v>
      </c>
      <c r="H207" s="4" t="s">
        <v>9</v>
      </c>
      <c r="I207" s="5">
        <v>299</v>
      </c>
      <c r="J207" s="6">
        <v>515</v>
      </c>
      <c r="K207" s="90">
        <v>45667</v>
      </c>
      <c r="L207" s="38">
        <v>45691</v>
      </c>
      <c r="M207" s="4">
        <v>24245</v>
      </c>
      <c r="N207" s="7">
        <v>26500</v>
      </c>
      <c r="O207" s="7">
        <f t="shared" si="23"/>
        <v>-123000</v>
      </c>
      <c r="P207" s="10">
        <f t="shared" si="29"/>
        <v>13647.5</v>
      </c>
      <c r="Q207" s="6">
        <f t="shared" si="28"/>
        <v>682.375</v>
      </c>
      <c r="R207" s="1">
        <v>5</v>
      </c>
      <c r="S207" s="1" t="s">
        <v>3</v>
      </c>
      <c r="T207" s="8"/>
    </row>
    <row r="208" spans="1:20" x14ac:dyDescent="0.3">
      <c r="A208" s="89" t="s">
        <v>83</v>
      </c>
      <c r="B208" s="135" t="s">
        <v>19</v>
      </c>
      <c r="C208" s="135" t="s">
        <v>53</v>
      </c>
      <c r="D208" s="75">
        <v>110</v>
      </c>
      <c r="E208" s="1" t="s">
        <v>12</v>
      </c>
      <c r="F208" s="2">
        <v>45622</v>
      </c>
      <c r="G208" s="9">
        <v>60</v>
      </c>
      <c r="H208" s="4" t="s">
        <v>9</v>
      </c>
      <c r="I208" s="4">
        <v>120</v>
      </c>
      <c r="J208" s="6">
        <v>613</v>
      </c>
      <c r="K208" s="90">
        <v>45667</v>
      </c>
      <c r="L208" s="38">
        <v>45691</v>
      </c>
      <c r="M208" s="4">
        <v>24242</v>
      </c>
      <c r="N208" s="7">
        <v>67500</v>
      </c>
      <c r="O208" s="7">
        <f t="shared" si="23"/>
        <v>7500</v>
      </c>
      <c r="P208" s="10">
        <f t="shared" si="29"/>
        <v>41377.5</v>
      </c>
      <c r="Q208" s="6">
        <f t="shared" si="28"/>
        <v>2068.875</v>
      </c>
      <c r="R208" s="1">
        <v>5</v>
      </c>
      <c r="S208" s="1" t="s">
        <v>3</v>
      </c>
      <c r="T208" s="8"/>
    </row>
    <row r="209" spans="1:20" x14ac:dyDescent="0.3">
      <c r="A209" s="89" t="s">
        <v>83</v>
      </c>
      <c r="B209" s="135" t="s">
        <v>19</v>
      </c>
      <c r="C209" s="135" t="s">
        <v>54</v>
      </c>
      <c r="D209" s="75">
        <v>111</v>
      </c>
      <c r="E209" s="1" t="s">
        <v>12</v>
      </c>
      <c r="F209" s="2">
        <v>45622</v>
      </c>
      <c r="G209" s="9">
        <v>35</v>
      </c>
      <c r="H209" s="4" t="s">
        <v>9</v>
      </c>
      <c r="I209" s="4">
        <v>87.5</v>
      </c>
      <c r="J209" s="6">
        <v>1027</v>
      </c>
      <c r="K209" s="90">
        <v>45667</v>
      </c>
      <c r="L209" s="38">
        <v>45691</v>
      </c>
      <c r="M209" s="4">
        <v>24242</v>
      </c>
      <c r="N209" s="7">
        <v>35600</v>
      </c>
      <c r="O209" s="7">
        <f t="shared" si="23"/>
        <v>600</v>
      </c>
      <c r="P209" s="10">
        <f t="shared" si="29"/>
        <v>36561.199999999997</v>
      </c>
      <c r="Q209" s="6">
        <f t="shared" si="28"/>
        <v>1828.06</v>
      </c>
      <c r="R209" s="1">
        <v>5</v>
      </c>
      <c r="S209" s="1" t="s">
        <v>3</v>
      </c>
      <c r="T209" s="8"/>
    </row>
    <row r="210" spans="1:20" x14ac:dyDescent="0.3">
      <c r="A210" s="89" t="s">
        <v>83</v>
      </c>
      <c r="B210" s="135" t="s">
        <v>19</v>
      </c>
      <c r="C210" s="135" t="s">
        <v>54</v>
      </c>
      <c r="D210" s="75">
        <v>112</v>
      </c>
      <c r="E210" s="1" t="s">
        <v>12</v>
      </c>
      <c r="F210" s="2">
        <v>45701</v>
      </c>
      <c r="G210" s="12">
        <v>32.4</v>
      </c>
      <c r="H210" s="4" t="s">
        <v>9</v>
      </c>
      <c r="I210" s="4">
        <v>64.8</v>
      </c>
      <c r="J210" s="6">
        <v>1027</v>
      </c>
      <c r="K210" s="90">
        <v>45705</v>
      </c>
      <c r="L210" s="38">
        <v>45775</v>
      </c>
      <c r="M210" s="4">
        <v>24787</v>
      </c>
      <c r="N210" s="7">
        <v>32400</v>
      </c>
      <c r="O210" s="7">
        <f t="shared" si="23"/>
        <v>0</v>
      </c>
      <c r="P210" s="10">
        <f t="shared" si="29"/>
        <v>33274.800000000003</v>
      </c>
      <c r="Q210" s="6">
        <f t="shared" si="28"/>
        <v>1663.7400000000002</v>
      </c>
      <c r="R210" s="1">
        <v>5</v>
      </c>
      <c r="S210" s="1" t="s">
        <v>3</v>
      </c>
      <c r="T210" s="55"/>
    </row>
    <row r="211" spans="1:20" x14ac:dyDescent="0.3">
      <c r="A211" s="89" t="s">
        <v>83</v>
      </c>
      <c r="B211" s="138" t="s">
        <v>19</v>
      </c>
      <c r="C211" s="138" t="s">
        <v>54</v>
      </c>
      <c r="D211" s="206">
        <v>112</v>
      </c>
      <c r="E211" s="19" t="s">
        <v>12</v>
      </c>
      <c r="F211" s="39">
        <v>45701</v>
      </c>
      <c r="G211" s="41">
        <v>149.19999999999999</v>
      </c>
      <c r="H211" s="23" t="s">
        <v>9</v>
      </c>
      <c r="I211" s="23">
        <v>373</v>
      </c>
      <c r="J211" s="28">
        <v>1027</v>
      </c>
      <c r="K211" s="92">
        <v>45705</v>
      </c>
      <c r="L211" s="93">
        <v>45747</v>
      </c>
      <c r="M211" s="23">
        <v>24606</v>
      </c>
      <c r="N211" s="20">
        <v>116800</v>
      </c>
      <c r="O211" s="20">
        <f t="shared" si="23"/>
        <v>-32400</v>
      </c>
      <c r="P211" s="25">
        <f t="shared" si="29"/>
        <v>119953.60000000001</v>
      </c>
      <c r="Q211" s="28">
        <f t="shared" si="28"/>
        <v>5997.68</v>
      </c>
      <c r="R211" s="19">
        <v>5</v>
      </c>
      <c r="S211" s="1" t="s">
        <v>3</v>
      </c>
      <c r="T211" s="8"/>
    </row>
    <row r="212" spans="1:20" x14ac:dyDescent="0.3">
      <c r="A212" s="89" t="s">
        <v>83</v>
      </c>
      <c r="B212" s="138" t="s">
        <v>19</v>
      </c>
      <c r="C212" s="138" t="s">
        <v>54</v>
      </c>
      <c r="D212" s="206">
        <v>112</v>
      </c>
      <c r="E212" s="19" t="s">
        <v>12</v>
      </c>
      <c r="F212" s="39">
        <v>45701</v>
      </c>
      <c r="G212" s="40">
        <v>250</v>
      </c>
      <c r="H212" s="23" t="s">
        <v>9</v>
      </c>
      <c r="I212" s="23">
        <v>625</v>
      </c>
      <c r="J212" s="28">
        <v>1027</v>
      </c>
      <c r="K212" s="92">
        <v>45705</v>
      </c>
      <c r="L212" s="93">
        <v>45721</v>
      </c>
      <c r="M212" s="23">
        <v>24458</v>
      </c>
      <c r="N212" s="20">
        <v>100800</v>
      </c>
      <c r="O212" s="20">
        <f t="shared" si="23"/>
        <v>-149200</v>
      </c>
      <c r="P212" s="25">
        <f t="shared" si="29"/>
        <v>103521.60000000001</v>
      </c>
      <c r="Q212" s="28">
        <f t="shared" si="28"/>
        <v>5176.0800000000008</v>
      </c>
      <c r="R212" s="19">
        <v>5</v>
      </c>
      <c r="S212" s="1" t="s">
        <v>3</v>
      </c>
      <c r="T212" s="8"/>
    </row>
    <row r="213" spans="1:20" x14ac:dyDescent="0.3">
      <c r="A213" s="89" t="s">
        <v>83</v>
      </c>
      <c r="B213" s="138" t="s">
        <v>19</v>
      </c>
      <c r="C213" s="138" t="s">
        <v>52</v>
      </c>
      <c r="D213" s="206">
        <v>113</v>
      </c>
      <c r="E213" s="19" t="s">
        <v>12</v>
      </c>
      <c r="F213" s="39">
        <v>45701</v>
      </c>
      <c r="G213" s="22">
        <v>150</v>
      </c>
      <c r="H213" s="23" t="s">
        <v>9</v>
      </c>
      <c r="I213" s="30">
        <v>300</v>
      </c>
      <c r="J213" s="28">
        <v>571</v>
      </c>
      <c r="K213" s="92">
        <v>45705</v>
      </c>
      <c r="L213" s="93">
        <v>45747</v>
      </c>
      <c r="M213" s="23">
        <v>24606</v>
      </c>
      <c r="N213" s="20">
        <v>166000</v>
      </c>
      <c r="O213" s="20">
        <f t="shared" si="23"/>
        <v>16000</v>
      </c>
      <c r="P213" s="25">
        <f t="shared" si="29"/>
        <v>94786</v>
      </c>
      <c r="Q213" s="28">
        <f t="shared" si="28"/>
        <v>4739.3</v>
      </c>
      <c r="R213" s="19">
        <v>5</v>
      </c>
      <c r="S213" s="1" t="s">
        <v>3</v>
      </c>
      <c r="T213" s="8"/>
    </row>
    <row r="214" spans="1:20" x14ac:dyDescent="0.3">
      <c r="A214" s="89" t="s">
        <v>83</v>
      </c>
      <c r="B214" s="144" t="s">
        <v>19</v>
      </c>
      <c r="C214" s="144" t="s">
        <v>52</v>
      </c>
      <c r="D214" s="87">
        <v>114</v>
      </c>
      <c r="E214" s="80" t="s">
        <v>18</v>
      </c>
      <c r="F214" s="81">
        <v>45717</v>
      </c>
      <c r="G214" s="82">
        <v>97</v>
      </c>
      <c r="H214" s="83" t="s">
        <v>9</v>
      </c>
      <c r="I214" s="83">
        <f>(G214*1000/500)</f>
        <v>194</v>
      </c>
      <c r="J214" s="84">
        <v>571</v>
      </c>
      <c r="K214" s="114">
        <v>45908</v>
      </c>
      <c r="L214" s="115">
        <v>45908</v>
      </c>
      <c r="M214" s="83"/>
      <c r="N214" s="85">
        <v>97000</v>
      </c>
      <c r="O214" s="85">
        <f t="shared" si="23"/>
        <v>0</v>
      </c>
      <c r="P214" s="88">
        <f t="shared" si="29"/>
        <v>55387</v>
      </c>
      <c r="Q214" s="84">
        <f t="shared" si="28"/>
        <v>2769.3500000000004</v>
      </c>
      <c r="R214" s="80">
        <v>5</v>
      </c>
      <c r="S214" s="91"/>
      <c r="T214" s="79"/>
    </row>
    <row r="215" spans="1:20" x14ac:dyDescent="0.3">
      <c r="A215" s="89" t="s">
        <v>83</v>
      </c>
      <c r="B215" s="138" t="s">
        <v>19</v>
      </c>
      <c r="C215" s="138" t="s">
        <v>52</v>
      </c>
      <c r="D215" s="206">
        <v>114</v>
      </c>
      <c r="E215" s="19" t="s">
        <v>18</v>
      </c>
      <c r="F215" s="39">
        <v>45717</v>
      </c>
      <c r="G215" s="52">
        <v>200</v>
      </c>
      <c r="H215" s="23" t="s">
        <v>9</v>
      </c>
      <c r="I215" s="23">
        <f>(G215*1000/500)</f>
        <v>400</v>
      </c>
      <c r="J215" s="28">
        <v>571</v>
      </c>
      <c r="K215" s="92">
        <v>45741</v>
      </c>
      <c r="L215" s="93">
        <v>45776</v>
      </c>
      <c r="M215" s="23">
        <v>24787</v>
      </c>
      <c r="N215" s="20">
        <v>103000</v>
      </c>
      <c r="O215" s="20">
        <f t="shared" si="23"/>
        <v>-97000</v>
      </c>
      <c r="P215" s="25">
        <f t="shared" si="29"/>
        <v>58813</v>
      </c>
      <c r="Q215" s="28">
        <f t="shared" si="28"/>
        <v>2940.65</v>
      </c>
      <c r="R215" s="19">
        <v>5</v>
      </c>
      <c r="S215" s="1" t="s">
        <v>3</v>
      </c>
      <c r="T215" s="55"/>
    </row>
    <row r="216" spans="1:20" x14ac:dyDescent="0.3">
      <c r="A216" s="89" t="s">
        <v>83</v>
      </c>
      <c r="B216" s="135" t="s">
        <v>19</v>
      </c>
      <c r="C216" s="135" t="s">
        <v>54</v>
      </c>
      <c r="D216" s="75">
        <v>115</v>
      </c>
      <c r="E216" s="1" t="s">
        <v>18</v>
      </c>
      <c r="F216" s="2">
        <v>45717</v>
      </c>
      <c r="G216" s="71">
        <v>16.8</v>
      </c>
      <c r="H216" s="4" t="s">
        <v>9</v>
      </c>
      <c r="I216" s="4">
        <f>(G216*1000/400)</f>
        <v>42</v>
      </c>
      <c r="J216" s="6">
        <v>1027</v>
      </c>
      <c r="K216" s="90">
        <v>45741</v>
      </c>
      <c r="L216" s="38">
        <v>45849</v>
      </c>
      <c r="M216" s="4">
        <v>25116</v>
      </c>
      <c r="N216" s="7">
        <v>11200</v>
      </c>
      <c r="O216" s="7">
        <f t="shared" ref="O216:O247" si="30">(N216-G216*1000)</f>
        <v>-5600</v>
      </c>
      <c r="P216" s="10">
        <f t="shared" si="29"/>
        <v>11502.4</v>
      </c>
      <c r="Q216" s="6">
        <f t="shared" si="28"/>
        <v>575.12</v>
      </c>
      <c r="R216" s="1">
        <v>5</v>
      </c>
      <c r="S216" s="78" t="s">
        <v>3</v>
      </c>
      <c r="T216" s="55"/>
    </row>
    <row r="217" spans="1:20" x14ac:dyDescent="0.3">
      <c r="A217" s="89" t="s">
        <v>83</v>
      </c>
      <c r="B217" s="135" t="s">
        <v>19</v>
      </c>
      <c r="C217" s="135" t="s">
        <v>54</v>
      </c>
      <c r="D217" s="75">
        <v>115</v>
      </c>
      <c r="E217" s="1" t="s">
        <v>18</v>
      </c>
      <c r="F217" s="2">
        <v>45717</v>
      </c>
      <c r="G217" s="71">
        <v>150.4</v>
      </c>
      <c r="H217" s="4" t="s">
        <v>9</v>
      </c>
      <c r="I217" s="4">
        <f>(G217*1000/400)</f>
        <v>376</v>
      </c>
      <c r="J217" s="6">
        <v>1027</v>
      </c>
      <c r="K217" s="90">
        <v>45741</v>
      </c>
      <c r="L217" s="38">
        <v>45806</v>
      </c>
      <c r="M217" s="4">
        <v>24929</v>
      </c>
      <c r="N217" s="7">
        <v>24400</v>
      </c>
      <c r="O217" s="7">
        <f t="shared" si="30"/>
        <v>-126000</v>
      </c>
      <c r="P217" s="10">
        <f t="shared" si="29"/>
        <v>25058.799999999999</v>
      </c>
      <c r="Q217" s="6">
        <f t="shared" si="28"/>
        <v>1252.94</v>
      </c>
      <c r="R217" s="1">
        <v>5</v>
      </c>
      <c r="S217" s="1" t="s">
        <v>3</v>
      </c>
      <c r="T217" s="55"/>
    </row>
    <row r="218" spans="1:20" x14ac:dyDescent="0.3">
      <c r="A218" s="89" t="s">
        <v>83</v>
      </c>
      <c r="B218" s="135" t="s">
        <v>19</v>
      </c>
      <c r="C218" s="135" t="s">
        <v>54</v>
      </c>
      <c r="D218" s="75">
        <v>115</v>
      </c>
      <c r="E218" s="1" t="s">
        <v>18</v>
      </c>
      <c r="F218" s="2">
        <v>45717</v>
      </c>
      <c r="G218" s="71">
        <v>126</v>
      </c>
      <c r="H218" s="4" t="s">
        <v>9</v>
      </c>
      <c r="I218" s="4">
        <f>(G218*1000/400)</f>
        <v>315</v>
      </c>
      <c r="J218" s="6">
        <v>1027</v>
      </c>
      <c r="K218" s="90">
        <v>45741</v>
      </c>
      <c r="L218" s="38">
        <v>45806</v>
      </c>
      <c r="M218" s="4">
        <v>25060</v>
      </c>
      <c r="N218" s="7">
        <v>109200</v>
      </c>
      <c r="O218" s="7">
        <f t="shared" si="30"/>
        <v>-16800</v>
      </c>
      <c r="P218" s="10">
        <f t="shared" si="29"/>
        <v>112148.4</v>
      </c>
      <c r="Q218" s="6">
        <f t="shared" si="28"/>
        <v>5607.42</v>
      </c>
      <c r="R218" s="1">
        <v>5</v>
      </c>
      <c r="S218" s="101" t="s">
        <v>3</v>
      </c>
      <c r="T218" s="55"/>
    </row>
    <row r="219" spans="1:20" x14ac:dyDescent="0.3">
      <c r="A219" s="89" t="s">
        <v>83</v>
      </c>
      <c r="B219" s="138" t="s">
        <v>19</v>
      </c>
      <c r="C219" s="135" t="s">
        <v>54</v>
      </c>
      <c r="D219" s="75">
        <v>115</v>
      </c>
      <c r="E219" s="1" t="s">
        <v>18</v>
      </c>
      <c r="F219" s="2">
        <v>45717</v>
      </c>
      <c r="G219" s="71">
        <v>5.6</v>
      </c>
      <c r="H219" s="4" t="s">
        <v>9</v>
      </c>
      <c r="I219" s="4">
        <f>(G219*1000/400)</f>
        <v>14</v>
      </c>
      <c r="J219" s="6">
        <v>1027</v>
      </c>
      <c r="K219" s="90">
        <v>45741</v>
      </c>
      <c r="L219" s="38">
        <v>45806</v>
      </c>
      <c r="M219" s="4"/>
      <c r="N219" s="7">
        <v>5600</v>
      </c>
      <c r="O219" s="7">
        <f t="shared" si="30"/>
        <v>0</v>
      </c>
      <c r="P219" s="10">
        <f t="shared" si="29"/>
        <v>5751.2</v>
      </c>
      <c r="Q219" s="6">
        <f t="shared" si="28"/>
        <v>287.56</v>
      </c>
      <c r="R219" s="1">
        <v>5</v>
      </c>
      <c r="S219" s="78"/>
      <c r="T219" s="55"/>
    </row>
    <row r="220" spans="1:20" x14ac:dyDescent="0.3">
      <c r="A220" s="89" t="s">
        <v>83</v>
      </c>
      <c r="B220" s="135" t="s">
        <v>19</v>
      </c>
      <c r="C220" s="135" t="s">
        <v>54</v>
      </c>
      <c r="D220" s="75">
        <v>115</v>
      </c>
      <c r="E220" s="1" t="s">
        <v>18</v>
      </c>
      <c r="F220" s="2">
        <v>45717</v>
      </c>
      <c r="G220" s="71">
        <v>220.4</v>
      </c>
      <c r="H220" s="4" t="s">
        <v>9</v>
      </c>
      <c r="I220" s="4">
        <f>(G220*1000/400)</f>
        <v>551</v>
      </c>
      <c r="J220" s="6">
        <v>1027</v>
      </c>
      <c r="K220" s="90">
        <v>45741</v>
      </c>
      <c r="L220" s="38">
        <v>45805</v>
      </c>
      <c r="M220" s="4">
        <v>24928</v>
      </c>
      <c r="N220" s="7">
        <v>70000</v>
      </c>
      <c r="O220" s="7">
        <f t="shared" si="30"/>
        <v>-150400</v>
      </c>
      <c r="P220" s="10">
        <f t="shared" si="29"/>
        <v>71890</v>
      </c>
      <c r="Q220" s="6">
        <f t="shared" si="28"/>
        <v>3594.5</v>
      </c>
      <c r="R220" s="1">
        <v>5</v>
      </c>
      <c r="S220" s="1" t="s">
        <v>3</v>
      </c>
      <c r="T220" s="55"/>
    </row>
    <row r="221" spans="1:20" x14ac:dyDescent="0.3">
      <c r="A221" s="89" t="s">
        <v>83</v>
      </c>
      <c r="B221" s="135" t="s">
        <v>19</v>
      </c>
      <c r="C221" s="135" t="s">
        <v>54</v>
      </c>
      <c r="D221" s="75">
        <v>115</v>
      </c>
      <c r="E221" s="1" t="s">
        <v>18</v>
      </c>
      <c r="F221" s="2">
        <v>45717</v>
      </c>
      <c r="G221" s="54">
        <v>300</v>
      </c>
      <c r="H221" s="4" t="s">
        <v>9</v>
      </c>
      <c r="I221" s="4">
        <v>750</v>
      </c>
      <c r="J221" s="6">
        <v>1027</v>
      </c>
      <c r="K221" s="90">
        <v>45741</v>
      </c>
      <c r="L221" s="38">
        <v>45776</v>
      </c>
      <c r="M221" s="4">
        <v>24787</v>
      </c>
      <c r="N221" s="7">
        <v>79600</v>
      </c>
      <c r="O221" s="7">
        <f t="shared" si="30"/>
        <v>-220400</v>
      </c>
      <c r="P221" s="10">
        <f t="shared" si="29"/>
        <v>81749.2</v>
      </c>
      <c r="Q221" s="6">
        <f t="shared" si="28"/>
        <v>4087.46</v>
      </c>
      <c r="R221" s="1">
        <v>5</v>
      </c>
      <c r="S221" s="1" t="s">
        <v>3</v>
      </c>
      <c r="T221" s="55"/>
    </row>
    <row r="222" spans="1:20" x14ac:dyDescent="0.3">
      <c r="A222" s="89" t="s">
        <v>83</v>
      </c>
      <c r="B222" s="135" t="s">
        <v>19</v>
      </c>
      <c r="C222" s="135" t="s">
        <v>54</v>
      </c>
      <c r="D222" s="75">
        <v>115</v>
      </c>
      <c r="E222" s="1" t="s">
        <v>18</v>
      </c>
      <c r="F222" s="2">
        <v>45717</v>
      </c>
      <c r="G222" s="9">
        <v>300</v>
      </c>
      <c r="H222" s="4" t="s">
        <v>9</v>
      </c>
      <c r="I222" s="4">
        <v>750</v>
      </c>
      <c r="J222" s="6">
        <v>1027</v>
      </c>
      <c r="K222" s="90">
        <v>45741</v>
      </c>
      <c r="L222" s="38">
        <v>45776</v>
      </c>
      <c r="M222" s="4">
        <v>24787</v>
      </c>
      <c r="N222" s="7">
        <v>79600</v>
      </c>
      <c r="O222" s="7">
        <f t="shared" si="30"/>
        <v>-220400</v>
      </c>
      <c r="P222" s="10">
        <f t="shared" si="29"/>
        <v>81749.2</v>
      </c>
      <c r="Q222" s="6">
        <f t="shared" si="28"/>
        <v>4087.46</v>
      </c>
      <c r="R222" s="1">
        <v>5</v>
      </c>
      <c r="S222" s="101"/>
      <c r="T222" s="55"/>
    </row>
    <row r="223" spans="1:20" x14ac:dyDescent="0.3">
      <c r="A223" s="89" t="s">
        <v>83</v>
      </c>
      <c r="B223" s="144" t="s">
        <v>19</v>
      </c>
      <c r="C223" s="144" t="s">
        <v>52</v>
      </c>
      <c r="D223" s="87">
        <v>116</v>
      </c>
      <c r="E223" s="80" t="s">
        <v>18</v>
      </c>
      <c r="F223" s="81">
        <v>45725</v>
      </c>
      <c r="G223" s="82">
        <v>23</v>
      </c>
      <c r="H223" s="83" t="s">
        <v>9</v>
      </c>
      <c r="I223" s="83">
        <f>(G223*1000/500)</f>
        <v>46</v>
      </c>
      <c r="J223" s="84">
        <v>582.4</v>
      </c>
      <c r="K223" s="114">
        <v>45908</v>
      </c>
      <c r="L223" s="115">
        <v>45908</v>
      </c>
      <c r="M223" s="83"/>
      <c r="N223" s="85">
        <v>23000</v>
      </c>
      <c r="O223" s="85">
        <f t="shared" si="30"/>
        <v>0</v>
      </c>
      <c r="P223" s="88">
        <f t="shared" si="29"/>
        <v>13395.2</v>
      </c>
      <c r="Q223" s="84">
        <f t="shared" si="28"/>
        <v>669.7600000000001</v>
      </c>
      <c r="R223" s="80">
        <v>5</v>
      </c>
      <c r="S223" s="91"/>
      <c r="T223" s="79"/>
    </row>
    <row r="224" spans="1:20" x14ac:dyDescent="0.3">
      <c r="A224" s="89" t="s">
        <v>83</v>
      </c>
      <c r="B224" s="135" t="s">
        <v>19</v>
      </c>
      <c r="C224" s="138" t="s">
        <v>52</v>
      </c>
      <c r="D224" s="206">
        <v>116</v>
      </c>
      <c r="E224" s="19" t="s">
        <v>18</v>
      </c>
      <c r="F224" s="39">
        <v>45725</v>
      </c>
      <c r="G224" s="22">
        <v>91</v>
      </c>
      <c r="H224" s="23" t="s">
        <v>9</v>
      </c>
      <c r="I224" s="23">
        <f>(G224*1000/500)</f>
        <v>182</v>
      </c>
      <c r="J224" s="28">
        <v>582.4</v>
      </c>
      <c r="K224" s="92">
        <v>45762</v>
      </c>
      <c r="L224" s="93">
        <v>45849</v>
      </c>
      <c r="M224" s="23">
        <v>25116</v>
      </c>
      <c r="N224" s="20">
        <v>68000</v>
      </c>
      <c r="O224" s="20">
        <f t="shared" si="30"/>
        <v>-23000</v>
      </c>
      <c r="P224" s="25">
        <f t="shared" si="29"/>
        <v>39603.199999999997</v>
      </c>
      <c r="Q224" s="28">
        <f t="shared" si="28"/>
        <v>1980.1599999999999</v>
      </c>
      <c r="R224" s="19">
        <v>5</v>
      </c>
      <c r="S224" s="78" t="s">
        <v>3</v>
      </c>
      <c r="T224" s="55"/>
    </row>
    <row r="225" spans="1:20" x14ac:dyDescent="0.3">
      <c r="A225" s="89" t="s">
        <v>83</v>
      </c>
      <c r="B225" s="135" t="s">
        <v>19</v>
      </c>
      <c r="C225" s="135" t="s">
        <v>52</v>
      </c>
      <c r="D225" s="75">
        <v>116</v>
      </c>
      <c r="E225" s="1" t="s">
        <v>18</v>
      </c>
      <c r="F225" s="2">
        <v>45725</v>
      </c>
      <c r="G225" s="3">
        <v>200</v>
      </c>
      <c r="H225" s="4" t="s">
        <v>9</v>
      </c>
      <c r="I225" s="4">
        <f>(G225*1000/500)</f>
        <v>400</v>
      </c>
      <c r="J225" s="6">
        <v>582.4</v>
      </c>
      <c r="K225" s="90">
        <v>45762</v>
      </c>
      <c r="L225" s="38">
        <v>45762</v>
      </c>
      <c r="M225" s="4">
        <v>25060</v>
      </c>
      <c r="N225" s="7">
        <v>109000</v>
      </c>
      <c r="O225" s="7">
        <f t="shared" si="30"/>
        <v>-91000</v>
      </c>
      <c r="P225" s="10">
        <f t="shared" si="29"/>
        <v>63481.599999999999</v>
      </c>
      <c r="Q225" s="6">
        <f t="shared" si="28"/>
        <v>3174.08</v>
      </c>
      <c r="R225" s="1">
        <v>5</v>
      </c>
      <c r="S225" s="101" t="s">
        <v>3</v>
      </c>
      <c r="T225" s="55"/>
    </row>
    <row r="226" spans="1:20" x14ac:dyDescent="0.3">
      <c r="A226" s="89" t="s">
        <v>83</v>
      </c>
      <c r="B226" s="144" t="s">
        <v>19</v>
      </c>
      <c r="C226" s="144" t="s">
        <v>54</v>
      </c>
      <c r="D226" s="87">
        <v>117</v>
      </c>
      <c r="E226" s="80" t="s">
        <v>18</v>
      </c>
      <c r="F226" s="81">
        <v>45725</v>
      </c>
      <c r="G226" s="86">
        <v>183</v>
      </c>
      <c r="H226" s="83" t="s">
        <v>9</v>
      </c>
      <c r="I226" s="87">
        <f>(G226*1000/400)</f>
        <v>457.5</v>
      </c>
      <c r="J226" s="84">
        <v>1047.5</v>
      </c>
      <c r="K226" s="114">
        <v>45908</v>
      </c>
      <c r="L226" s="115">
        <v>45908</v>
      </c>
      <c r="M226" s="83"/>
      <c r="N226" s="85">
        <v>183000</v>
      </c>
      <c r="O226" s="85">
        <f t="shared" si="30"/>
        <v>0</v>
      </c>
      <c r="P226" s="88">
        <f t="shared" si="29"/>
        <v>191692.5</v>
      </c>
      <c r="Q226" s="84">
        <f t="shared" si="28"/>
        <v>9584.625</v>
      </c>
      <c r="R226" s="80">
        <v>5</v>
      </c>
      <c r="S226" s="91"/>
      <c r="T226" s="79"/>
    </row>
    <row r="227" spans="1:20" x14ac:dyDescent="0.3">
      <c r="A227" s="89" t="s">
        <v>83</v>
      </c>
      <c r="B227" s="135" t="s">
        <v>19</v>
      </c>
      <c r="C227" s="138" t="s">
        <v>54</v>
      </c>
      <c r="D227" s="206">
        <v>117</v>
      </c>
      <c r="E227" s="19" t="s">
        <v>18</v>
      </c>
      <c r="F227" s="39">
        <v>45725</v>
      </c>
      <c r="G227" s="40">
        <v>200</v>
      </c>
      <c r="H227" s="23" t="s">
        <v>9</v>
      </c>
      <c r="I227" s="23">
        <f>(G227*1000/400)</f>
        <v>500</v>
      </c>
      <c r="J227" s="28">
        <v>1047.5</v>
      </c>
      <c r="K227" s="92">
        <v>45762</v>
      </c>
      <c r="L227" s="93">
        <v>45849</v>
      </c>
      <c r="M227" s="23">
        <v>25116</v>
      </c>
      <c r="N227" s="20">
        <v>17000</v>
      </c>
      <c r="O227" s="20">
        <f t="shared" si="30"/>
        <v>-183000</v>
      </c>
      <c r="P227" s="25">
        <f t="shared" si="29"/>
        <v>17807.5</v>
      </c>
      <c r="Q227" s="28">
        <f t="shared" si="28"/>
        <v>890.375</v>
      </c>
      <c r="R227" s="19">
        <v>5</v>
      </c>
      <c r="S227" s="78" t="s">
        <v>3</v>
      </c>
      <c r="T227" s="55"/>
    </row>
    <row r="228" spans="1:20" x14ac:dyDescent="0.3">
      <c r="A228" s="89" t="s">
        <v>83</v>
      </c>
      <c r="B228" s="135" t="s">
        <v>19</v>
      </c>
      <c r="C228" s="135" t="s">
        <v>68</v>
      </c>
      <c r="D228" s="75">
        <v>118</v>
      </c>
      <c r="E228" s="1" t="s">
        <v>18</v>
      </c>
      <c r="F228" s="2">
        <v>45725</v>
      </c>
      <c r="G228" s="54">
        <v>15</v>
      </c>
      <c r="H228" s="4" t="s">
        <v>9</v>
      </c>
      <c r="I228" s="4">
        <f>(G228*1000/200)</f>
        <v>75</v>
      </c>
      <c r="J228" s="6">
        <v>1611.6</v>
      </c>
      <c r="K228" s="90">
        <v>45762</v>
      </c>
      <c r="L228" s="38">
        <v>45776</v>
      </c>
      <c r="M228" s="4">
        <v>24787</v>
      </c>
      <c r="N228" s="7">
        <v>15000</v>
      </c>
      <c r="O228" s="7">
        <f t="shared" si="30"/>
        <v>0</v>
      </c>
      <c r="P228" s="10">
        <f t="shared" si="29"/>
        <v>24174</v>
      </c>
      <c r="Q228" s="6">
        <f t="shared" si="28"/>
        <v>1208.7</v>
      </c>
      <c r="R228" s="1">
        <v>5</v>
      </c>
      <c r="S228" s="1" t="s">
        <v>3</v>
      </c>
      <c r="T228" s="55"/>
    </row>
    <row r="229" spans="1:20" x14ac:dyDescent="0.3">
      <c r="A229" s="89" t="s">
        <v>83</v>
      </c>
      <c r="B229" s="135" t="s">
        <v>19</v>
      </c>
      <c r="C229" s="135" t="s">
        <v>53</v>
      </c>
      <c r="D229" s="75">
        <v>119</v>
      </c>
      <c r="E229" s="1" t="s">
        <v>12</v>
      </c>
      <c r="F229" s="2">
        <v>45786</v>
      </c>
      <c r="G229" s="9">
        <v>30</v>
      </c>
      <c r="H229" s="4" t="s">
        <v>9</v>
      </c>
      <c r="I229" s="4">
        <v>60</v>
      </c>
      <c r="J229" s="6">
        <v>715.5</v>
      </c>
      <c r="K229" s="90">
        <v>45792</v>
      </c>
      <c r="L229" s="38">
        <v>45805</v>
      </c>
      <c r="M229" s="4">
        <v>24928</v>
      </c>
      <c r="N229" s="7">
        <v>30000</v>
      </c>
      <c r="O229" s="7">
        <f t="shared" si="30"/>
        <v>0</v>
      </c>
      <c r="P229" s="10">
        <f t="shared" si="29"/>
        <v>21465</v>
      </c>
      <c r="Q229" s="6">
        <f t="shared" si="28"/>
        <v>1073.25</v>
      </c>
      <c r="R229" s="1">
        <v>5</v>
      </c>
      <c r="S229" s="1" t="s">
        <v>3</v>
      </c>
      <c r="T229" s="55"/>
    </row>
    <row r="230" spans="1:20" x14ac:dyDescent="0.3">
      <c r="A230" s="89" t="s">
        <v>83</v>
      </c>
      <c r="B230" s="144" t="s">
        <v>19</v>
      </c>
      <c r="C230" s="144" t="s">
        <v>52</v>
      </c>
      <c r="D230" s="87">
        <v>120</v>
      </c>
      <c r="E230" s="80" t="s">
        <v>18</v>
      </c>
      <c r="F230" s="81">
        <v>45845</v>
      </c>
      <c r="G230" s="82">
        <v>120</v>
      </c>
      <c r="H230" s="83" t="s">
        <v>9</v>
      </c>
      <c r="I230" s="83">
        <f>(G230*1000/500)</f>
        <v>240</v>
      </c>
      <c r="J230" s="84">
        <v>582.4</v>
      </c>
      <c r="K230" s="114">
        <v>45908</v>
      </c>
      <c r="L230" s="115">
        <v>45908</v>
      </c>
      <c r="M230" s="83"/>
      <c r="N230" s="85">
        <v>120000</v>
      </c>
      <c r="O230" s="85">
        <f t="shared" si="30"/>
        <v>0</v>
      </c>
      <c r="P230" s="88">
        <f t="shared" si="29"/>
        <v>69888</v>
      </c>
      <c r="Q230" s="84">
        <f t="shared" si="28"/>
        <v>3494.4</v>
      </c>
      <c r="R230" s="80">
        <v>5</v>
      </c>
      <c r="S230" s="91"/>
    </row>
    <row r="231" spans="1:20" x14ac:dyDescent="0.3">
      <c r="A231" s="89" t="s">
        <v>83</v>
      </c>
      <c r="B231" s="144" t="s">
        <v>19</v>
      </c>
      <c r="C231" s="144" t="s">
        <v>54</v>
      </c>
      <c r="D231" s="87">
        <v>121</v>
      </c>
      <c r="E231" s="80" t="s">
        <v>18</v>
      </c>
      <c r="F231" s="81">
        <v>45845</v>
      </c>
      <c r="G231" s="86">
        <v>77.599999999999994</v>
      </c>
      <c r="H231" s="83" t="s">
        <v>9</v>
      </c>
      <c r="I231" s="83">
        <f>(G231*1000/400)</f>
        <v>194</v>
      </c>
      <c r="J231" s="84">
        <v>1047.5</v>
      </c>
      <c r="K231" s="114">
        <v>45908</v>
      </c>
      <c r="L231" s="115">
        <v>45908</v>
      </c>
      <c r="M231" s="83"/>
      <c r="N231" s="85">
        <v>77600</v>
      </c>
      <c r="O231" s="85">
        <f t="shared" si="30"/>
        <v>0</v>
      </c>
      <c r="P231" s="88">
        <f t="shared" si="29"/>
        <v>81286</v>
      </c>
      <c r="Q231" s="84">
        <f t="shared" si="28"/>
        <v>4064.3</v>
      </c>
      <c r="R231" s="80">
        <v>5</v>
      </c>
      <c r="S231" s="91"/>
    </row>
    <row r="232" spans="1:20" x14ac:dyDescent="0.3">
      <c r="A232" s="89" t="s">
        <v>83</v>
      </c>
      <c r="B232" s="135" t="s">
        <v>19</v>
      </c>
      <c r="C232" s="135" t="s">
        <v>54</v>
      </c>
      <c r="D232" s="75">
        <v>121</v>
      </c>
      <c r="E232" s="1" t="s">
        <v>18</v>
      </c>
      <c r="F232" s="2">
        <v>45845</v>
      </c>
      <c r="G232" s="9">
        <v>100</v>
      </c>
      <c r="H232" s="4" t="s">
        <v>9</v>
      </c>
      <c r="I232" s="4">
        <f>(G232*1000/400)</f>
        <v>250</v>
      </c>
      <c r="J232" s="6">
        <v>1047.5</v>
      </c>
      <c r="K232" s="90">
        <v>45853</v>
      </c>
      <c r="L232" s="38">
        <v>45849</v>
      </c>
      <c r="M232" s="4">
        <v>25116</v>
      </c>
      <c r="N232" s="7">
        <v>22400</v>
      </c>
      <c r="O232" s="7">
        <f t="shared" si="30"/>
        <v>-77600</v>
      </c>
      <c r="P232" s="10">
        <f t="shared" si="29"/>
        <v>23464</v>
      </c>
      <c r="Q232" s="6">
        <f t="shared" si="28"/>
        <v>1173.2</v>
      </c>
      <c r="R232" s="1">
        <v>5</v>
      </c>
      <c r="S232" s="19"/>
      <c r="T232" s="55"/>
    </row>
    <row r="233" spans="1:20" x14ac:dyDescent="0.3">
      <c r="A233" s="89" t="s">
        <v>83</v>
      </c>
      <c r="B233" s="135" t="s">
        <v>25</v>
      </c>
      <c r="C233" s="135" t="s">
        <v>33</v>
      </c>
      <c r="D233" s="5">
        <v>10</v>
      </c>
      <c r="E233" s="1" t="s">
        <v>18</v>
      </c>
      <c r="F233" s="11">
        <v>45712</v>
      </c>
      <c r="G233" s="15">
        <v>7</v>
      </c>
      <c r="H233" s="4" t="s">
        <v>9</v>
      </c>
      <c r="I233" s="4">
        <v>14</v>
      </c>
      <c r="J233" s="16">
        <v>778</v>
      </c>
      <c r="K233" s="90">
        <v>45716</v>
      </c>
      <c r="L233" s="38">
        <v>45769</v>
      </c>
      <c r="M233" s="1">
        <v>24743</v>
      </c>
      <c r="N233" s="13">
        <v>3500</v>
      </c>
      <c r="O233" s="7">
        <f t="shared" si="30"/>
        <v>-3500</v>
      </c>
      <c r="P233" s="10">
        <f t="shared" si="29"/>
        <v>2723</v>
      </c>
      <c r="Q233" s="10">
        <f t="shared" si="28"/>
        <v>136.15</v>
      </c>
      <c r="R233" s="13">
        <v>5</v>
      </c>
      <c r="S233" s="10" t="s">
        <v>3</v>
      </c>
      <c r="T233" s="8"/>
    </row>
    <row r="234" spans="1:20" x14ac:dyDescent="0.3">
      <c r="A234" s="89" t="s">
        <v>83</v>
      </c>
      <c r="B234" s="138" t="s">
        <v>25</v>
      </c>
      <c r="C234" s="138" t="s">
        <v>33</v>
      </c>
      <c r="D234" s="30">
        <v>10</v>
      </c>
      <c r="E234" s="19" t="s">
        <v>18</v>
      </c>
      <c r="F234" s="32">
        <v>45712</v>
      </c>
      <c r="G234" s="52">
        <v>10</v>
      </c>
      <c r="H234" s="23" t="s">
        <v>9</v>
      </c>
      <c r="I234" s="23">
        <v>20</v>
      </c>
      <c r="J234" s="24">
        <v>778</v>
      </c>
      <c r="K234" s="92">
        <v>45716</v>
      </c>
      <c r="L234" s="93">
        <v>45748</v>
      </c>
      <c r="M234" s="19">
        <v>24612</v>
      </c>
      <c r="N234" s="21">
        <v>3000</v>
      </c>
      <c r="O234" s="20">
        <f t="shared" si="30"/>
        <v>-7000</v>
      </c>
      <c r="P234" s="25">
        <f t="shared" si="29"/>
        <v>2334</v>
      </c>
      <c r="Q234" s="25">
        <f t="shared" si="28"/>
        <v>116.7</v>
      </c>
      <c r="R234" s="21">
        <v>5</v>
      </c>
      <c r="S234" s="10" t="s">
        <v>3</v>
      </c>
      <c r="T234" s="8"/>
    </row>
    <row r="235" spans="1:20" x14ac:dyDescent="0.3">
      <c r="A235" s="89" t="s">
        <v>83</v>
      </c>
      <c r="B235" s="145" t="s">
        <v>25</v>
      </c>
      <c r="C235" s="145" t="s">
        <v>33</v>
      </c>
      <c r="D235" s="63">
        <v>10</v>
      </c>
      <c r="E235" s="64" t="s">
        <v>18</v>
      </c>
      <c r="F235" s="73">
        <v>45712</v>
      </c>
      <c r="G235" s="104">
        <v>3.5</v>
      </c>
      <c r="H235" s="62" t="s">
        <v>9</v>
      </c>
      <c r="I235" s="62">
        <v>7</v>
      </c>
      <c r="J235" s="105">
        <v>0</v>
      </c>
      <c r="K235" s="102">
        <v>45716</v>
      </c>
      <c r="L235" s="102">
        <v>45716</v>
      </c>
      <c r="M235" s="64"/>
      <c r="N235" s="68">
        <v>3500</v>
      </c>
      <c r="O235" s="69">
        <f t="shared" si="30"/>
        <v>0</v>
      </c>
      <c r="P235" s="70">
        <f t="shared" si="29"/>
        <v>0</v>
      </c>
      <c r="Q235" s="70">
        <f t="shared" si="28"/>
        <v>0</v>
      </c>
      <c r="R235" s="68">
        <v>5</v>
      </c>
      <c r="S235" s="103" t="s">
        <v>32</v>
      </c>
      <c r="T235" s="55"/>
    </row>
    <row r="236" spans="1:20" x14ac:dyDescent="0.3">
      <c r="A236" s="89" t="s">
        <v>83</v>
      </c>
      <c r="B236" s="135" t="s">
        <v>43</v>
      </c>
      <c r="C236" s="134" t="s">
        <v>57</v>
      </c>
      <c r="D236" s="5">
        <v>13</v>
      </c>
      <c r="E236" s="1" t="s">
        <v>29</v>
      </c>
      <c r="F236" s="11">
        <v>45559</v>
      </c>
      <c r="G236" s="15">
        <v>150</v>
      </c>
      <c r="H236" s="4" t="s">
        <v>9</v>
      </c>
      <c r="I236" s="4">
        <v>150</v>
      </c>
      <c r="J236" s="16">
        <v>147</v>
      </c>
      <c r="K236" s="90">
        <v>45589</v>
      </c>
      <c r="L236" s="38">
        <v>45570</v>
      </c>
      <c r="M236" s="1">
        <v>23435</v>
      </c>
      <c r="N236" s="13">
        <v>150000</v>
      </c>
      <c r="O236" s="7">
        <f t="shared" si="30"/>
        <v>0</v>
      </c>
      <c r="P236" s="10">
        <f t="shared" si="29"/>
        <v>22050</v>
      </c>
      <c r="Q236" s="10">
        <f t="shared" si="28"/>
        <v>1102.5</v>
      </c>
      <c r="R236" s="31">
        <v>2.5</v>
      </c>
      <c r="S236" s="78" t="s">
        <v>3</v>
      </c>
      <c r="T236" s="8"/>
    </row>
    <row r="237" spans="1:20" x14ac:dyDescent="0.3">
      <c r="A237" s="89" t="s">
        <v>83</v>
      </c>
      <c r="B237" s="135" t="s">
        <v>43</v>
      </c>
      <c r="C237" s="134" t="s">
        <v>40</v>
      </c>
      <c r="D237" s="5">
        <v>14</v>
      </c>
      <c r="E237" s="1" t="s">
        <v>29</v>
      </c>
      <c r="F237" s="11">
        <v>45559</v>
      </c>
      <c r="G237" s="15">
        <v>200</v>
      </c>
      <c r="H237" s="4" t="s">
        <v>9</v>
      </c>
      <c r="I237" s="4">
        <v>200</v>
      </c>
      <c r="J237" s="16">
        <v>182.7</v>
      </c>
      <c r="K237" s="90">
        <v>45589</v>
      </c>
      <c r="L237" s="38">
        <v>45589</v>
      </c>
      <c r="M237" s="1">
        <v>24305</v>
      </c>
      <c r="N237" s="13">
        <v>77000</v>
      </c>
      <c r="O237" s="7">
        <f t="shared" si="30"/>
        <v>-123000</v>
      </c>
      <c r="P237" s="10">
        <f t="shared" si="29"/>
        <v>14067.9</v>
      </c>
      <c r="Q237" s="10">
        <f>(P237*0.025)</f>
        <v>351.69749999999999</v>
      </c>
      <c r="R237" s="31">
        <v>2.5</v>
      </c>
      <c r="S237" s="1" t="s">
        <v>3</v>
      </c>
      <c r="T237" s="8"/>
    </row>
    <row r="238" spans="1:20" x14ac:dyDescent="0.3">
      <c r="A238" s="89" t="s">
        <v>83</v>
      </c>
      <c r="B238" s="137" t="s">
        <v>43</v>
      </c>
      <c r="C238" s="141" t="s">
        <v>40</v>
      </c>
      <c r="D238" s="60">
        <v>14</v>
      </c>
      <c r="E238" s="42" t="s">
        <v>29</v>
      </c>
      <c r="F238" s="43">
        <v>45559</v>
      </c>
      <c r="G238" s="51">
        <v>123</v>
      </c>
      <c r="H238" s="36" t="s">
        <v>9</v>
      </c>
      <c r="I238" s="36">
        <v>123</v>
      </c>
      <c r="J238" s="45">
        <v>0</v>
      </c>
      <c r="K238" s="95">
        <v>45589</v>
      </c>
      <c r="L238" s="96">
        <v>45589</v>
      </c>
      <c r="M238" s="42"/>
      <c r="N238" s="46">
        <v>123000</v>
      </c>
      <c r="O238" s="47">
        <f t="shared" si="30"/>
        <v>0</v>
      </c>
      <c r="P238" s="48">
        <v>0</v>
      </c>
      <c r="Q238" s="48">
        <v>0</v>
      </c>
      <c r="R238" s="98">
        <v>2.5</v>
      </c>
      <c r="S238" s="42" t="s">
        <v>62</v>
      </c>
      <c r="T238" s="8"/>
    </row>
    <row r="239" spans="1:20" x14ac:dyDescent="0.3">
      <c r="A239" s="89" t="s">
        <v>83</v>
      </c>
      <c r="B239" s="135" t="s">
        <v>43</v>
      </c>
      <c r="C239" s="134" t="s">
        <v>41</v>
      </c>
      <c r="D239" s="5">
        <v>15</v>
      </c>
      <c r="E239" s="1" t="s">
        <v>18</v>
      </c>
      <c r="F239" s="11">
        <v>45559</v>
      </c>
      <c r="G239" s="1">
        <v>200</v>
      </c>
      <c r="H239" s="4" t="s">
        <v>9</v>
      </c>
      <c r="I239" s="4">
        <v>200</v>
      </c>
      <c r="J239" s="16">
        <v>147</v>
      </c>
      <c r="K239" s="90">
        <v>45589</v>
      </c>
      <c r="L239" s="38">
        <v>45698</v>
      </c>
      <c r="M239" s="1">
        <v>24305</v>
      </c>
      <c r="N239" s="13">
        <v>200000</v>
      </c>
      <c r="O239" s="7">
        <f t="shared" si="30"/>
        <v>0</v>
      </c>
      <c r="P239" s="10">
        <f t="shared" ref="P239:P251" si="31">(N239*J239/1000)</f>
        <v>29400</v>
      </c>
      <c r="Q239" s="10">
        <f>(P239*0.05)</f>
        <v>1470</v>
      </c>
      <c r="R239" s="31">
        <v>2.5</v>
      </c>
      <c r="S239" s="1" t="s">
        <v>3</v>
      </c>
      <c r="T239" s="8"/>
    </row>
    <row r="240" spans="1:20" x14ac:dyDescent="0.3">
      <c r="A240" s="89" t="s">
        <v>83</v>
      </c>
      <c r="B240" s="135" t="s">
        <v>43</v>
      </c>
      <c r="C240" s="134" t="s">
        <v>42</v>
      </c>
      <c r="D240" s="5">
        <v>17</v>
      </c>
      <c r="E240" s="1" t="s">
        <v>29</v>
      </c>
      <c r="F240" s="11">
        <v>45559</v>
      </c>
      <c r="G240" s="15">
        <v>200</v>
      </c>
      <c r="H240" s="4" t="s">
        <v>9</v>
      </c>
      <c r="I240" s="4">
        <f>(G240)</f>
        <v>200</v>
      </c>
      <c r="J240" s="16">
        <v>159</v>
      </c>
      <c r="K240" s="90">
        <v>45670</v>
      </c>
      <c r="L240" s="38">
        <v>45696</v>
      </c>
      <c r="M240" s="1">
        <v>24300</v>
      </c>
      <c r="N240" s="13">
        <v>200000</v>
      </c>
      <c r="O240" s="7">
        <f t="shared" si="30"/>
        <v>0</v>
      </c>
      <c r="P240" s="10">
        <f t="shared" si="31"/>
        <v>31800</v>
      </c>
      <c r="Q240" s="10">
        <f t="shared" ref="Q240:Q251" si="32">(P240*0.025)</f>
        <v>795</v>
      </c>
      <c r="R240" s="31">
        <v>2.5</v>
      </c>
      <c r="S240" s="10" t="s">
        <v>3</v>
      </c>
      <c r="T240" s="8"/>
    </row>
    <row r="241" spans="1:20" x14ac:dyDescent="0.3">
      <c r="A241" s="89" t="s">
        <v>83</v>
      </c>
      <c r="B241" s="135" t="s">
        <v>43</v>
      </c>
      <c r="C241" s="134" t="s">
        <v>56</v>
      </c>
      <c r="D241" s="5">
        <v>17</v>
      </c>
      <c r="E241" s="1" t="s">
        <v>29</v>
      </c>
      <c r="F241" s="11">
        <v>45559</v>
      </c>
      <c r="G241" s="15">
        <v>500</v>
      </c>
      <c r="H241" s="4" t="s">
        <v>9</v>
      </c>
      <c r="I241" s="4">
        <f>(G241)</f>
        <v>500</v>
      </c>
      <c r="J241" s="16">
        <v>159</v>
      </c>
      <c r="K241" s="90">
        <v>45670</v>
      </c>
      <c r="L241" s="38">
        <v>45673</v>
      </c>
      <c r="M241" s="1">
        <v>24113</v>
      </c>
      <c r="N241" s="13">
        <v>300000</v>
      </c>
      <c r="O241" s="7">
        <f t="shared" si="30"/>
        <v>-200000</v>
      </c>
      <c r="P241" s="10">
        <f t="shared" si="31"/>
        <v>47700</v>
      </c>
      <c r="Q241" s="10">
        <f t="shared" si="32"/>
        <v>1192.5</v>
      </c>
      <c r="R241" s="31">
        <v>2.5</v>
      </c>
      <c r="S241" s="91" t="s">
        <v>3</v>
      </c>
      <c r="T241" s="8"/>
    </row>
    <row r="242" spans="1:20" x14ac:dyDescent="0.3">
      <c r="A242" s="89" t="s">
        <v>83</v>
      </c>
      <c r="B242" s="135" t="s">
        <v>43</v>
      </c>
      <c r="C242" s="135" t="s">
        <v>58</v>
      </c>
      <c r="D242" s="5">
        <v>18</v>
      </c>
      <c r="E242" s="1" t="s">
        <v>29</v>
      </c>
      <c r="F242" s="11">
        <v>45685</v>
      </c>
      <c r="G242" s="31">
        <v>52.5</v>
      </c>
      <c r="H242" s="4" t="s">
        <v>9</v>
      </c>
      <c r="I242" s="4">
        <v>105</v>
      </c>
      <c r="J242" s="16">
        <v>398</v>
      </c>
      <c r="K242" s="90">
        <v>45691</v>
      </c>
      <c r="L242" s="38">
        <v>45748</v>
      </c>
      <c r="M242" s="1">
        <v>24614</v>
      </c>
      <c r="N242" s="13">
        <v>52500</v>
      </c>
      <c r="O242" s="7">
        <f t="shared" si="30"/>
        <v>0</v>
      </c>
      <c r="P242" s="10">
        <f t="shared" si="31"/>
        <v>20895</v>
      </c>
      <c r="Q242" s="10">
        <f t="shared" si="32"/>
        <v>522.375</v>
      </c>
      <c r="R242" s="31">
        <v>2.5</v>
      </c>
      <c r="S242" s="10" t="s">
        <v>3</v>
      </c>
      <c r="T242" s="8"/>
    </row>
    <row r="243" spans="1:20" x14ac:dyDescent="0.3">
      <c r="A243" s="89" t="s">
        <v>83</v>
      </c>
      <c r="B243" s="138" t="s">
        <v>43</v>
      </c>
      <c r="C243" s="138" t="s">
        <v>58</v>
      </c>
      <c r="D243" s="30">
        <v>18</v>
      </c>
      <c r="E243" s="19" t="s">
        <v>29</v>
      </c>
      <c r="F243" s="32">
        <v>45685</v>
      </c>
      <c r="G243" s="49">
        <v>148</v>
      </c>
      <c r="H243" s="23" t="s">
        <v>9</v>
      </c>
      <c r="I243" s="23">
        <v>296</v>
      </c>
      <c r="J243" s="24">
        <v>398</v>
      </c>
      <c r="K243" s="92">
        <v>45691</v>
      </c>
      <c r="L243" s="93">
        <v>45734</v>
      </c>
      <c r="M243" s="19">
        <v>24537</v>
      </c>
      <c r="N243" s="21">
        <v>95500</v>
      </c>
      <c r="O243" s="20">
        <f t="shared" si="30"/>
        <v>-52500</v>
      </c>
      <c r="P243" s="25">
        <f t="shared" si="31"/>
        <v>38009</v>
      </c>
      <c r="Q243" s="25">
        <f t="shared" si="32"/>
        <v>950.22500000000002</v>
      </c>
      <c r="R243" s="49">
        <v>2.5</v>
      </c>
      <c r="S243" s="10" t="s">
        <v>3</v>
      </c>
      <c r="T243" s="8"/>
    </row>
    <row r="244" spans="1:20" x14ac:dyDescent="0.3">
      <c r="A244" s="89" t="s">
        <v>83</v>
      </c>
      <c r="B244" s="135" t="s">
        <v>43</v>
      </c>
      <c r="C244" s="135" t="s">
        <v>58</v>
      </c>
      <c r="D244" s="5">
        <v>18</v>
      </c>
      <c r="E244" s="1" t="s">
        <v>29</v>
      </c>
      <c r="F244" s="11">
        <v>45685</v>
      </c>
      <c r="G244" s="31">
        <v>300</v>
      </c>
      <c r="H244" s="4" t="s">
        <v>9</v>
      </c>
      <c r="I244" s="4">
        <v>600</v>
      </c>
      <c r="J244" s="16">
        <v>398</v>
      </c>
      <c r="K244" s="90">
        <v>45691</v>
      </c>
      <c r="L244" s="38">
        <v>45710</v>
      </c>
      <c r="M244" s="1">
        <v>24393</v>
      </c>
      <c r="N244" s="13">
        <v>85000</v>
      </c>
      <c r="O244" s="7">
        <f t="shared" si="30"/>
        <v>-215000</v>
      </c>
      <c r="P244" s="10">
        <f t="shared" si="31"/>
        <v>33830</v>
      </c>
      <c r="Q244" s="10">
        <f t="shared" si="32"/>
        <v>845.75</v>
      </c>
      <c r="R244" s="31">
        <v>2.5</v>
      </c>
      <c r="S244" s="1" t="s">
        <v>3</v>
      </c>
      <c r="T244" s="8"/>
    </row>
    <row r="245" spans="1:20" x14ac:dyDescent="0.3">
      <c r="A245" s="89" t="s">
        <v>83</v>
      </c>
      <c r="B245" s="135" t="s">
        <v>43</v>
      </c>
      <c r="C245" s="135" t="s">
        <v>58</v>
      </c>
      <c r="D245" s="5">
        <v>18</v>
      </c>
      <c r="E245" s="1" t="s">
        <v>29</v>
      </c>
      <c r="F245" s="11">
        <v>45685</v>
      </c>
      <c r="G245" s="31">
        <v>215</v>
      </c>
      <c r="H245" s="4" t="s">
        <v>9</v>
      </c>
      <c r="I245" s="4">
        <v>430</v>
      </c>
      <c r="J245" s="16">
        <v>398</v>
      </c>
      <c r="K245" s="90">
        <v>45691</v>
      </c>
      <c r="L245" s="38">
        <v>45691</v>
      </c>
      <c r="M245" s="1">
        <v>24495</v>
      </c>
      <c r="N245" s="13">
        <v>67000</v>
      </c>
      <c r="O245" s="7">
        <f t="shared" si="30"/>
        <v>-148000</v>
      </c>
      <c r="P245" s="10">
        <f t="shared" si="31"/>
        <v>26666</v>
      </c>
      <c r="Q245" s="10">
        <f t="shared" si="32"/>
        <v>666.65000000000009</v>
      </c>
      <c r="R245" s="31">
        <v>2.5</v>
      </c>
      <c r="S245" s="1" t="s">
        <v>3</v>
      </c>
      <c r="T245" s="8"/>
    </row>
    <row r="246" spans="1:20" x14ac:dyDescent="0.3">
      <c r="A246" s="89" t="s">
        <v>83</v>
      </c>
      <c r="B246" s="135" t="s">
        <v>43</v>
      </c>
      <c r="C246" s="135" t="s">
        <v>58</v>
      </c>
      <c r="D246" s="5">
        <v>19</v>
      </c>
      <c r="E246" s="1" t="s">
        <v>29</v>
      </c>
      <c r="F246" s="11">
        <v>45707</v>
      </c>
      <c r="G246" s="31">
        <v>150</v>
      </c>
      <c r="H246" s="4" t="s">
        <v>9</v>
      </c>
      <c r="I246" s="4">
        <v>300</v>
      </c>
      <c r="J246" s="16">
        <v>398</v>
      </c>
      <c r="K246" s="90">
        <v>45734</v>
      </c>
      <c r="L246" s="38">
        <v>45772</v>
      </c>
      <c r="M246" s="1">
        <v>24769</v>
      </c>
      <c r="N246" s="13">
        <v>150000</v>
      </c>
      <c r="O246" s="7">
        <f t="shared" si="30"/>
        <v>0</v>
      </c>
      <c r="P246" s="10">
        <f t="shared" si="31"/>
        <v>59700</v>
      </c>
      <c r="Q246" s="10">
        <f t="shared" si="32"/>
        <v>1492.5</v>
      </c>
      <c r="R246" s="31">
        <v>2.5</v>
      </c>
      <c r="S246" s="1" t="s">
        <v>3</v>
      </c>
      <c r="T246" s="8"/>
    </row>
    <row r="247" spans="1:20" x14ac:dyDescent="0.3">
      <c r="A247" s="89" t="s">
        <v>83</v>
      </c>
      <c r="B247" s="135" t="s">
        <v>43</v>
      </c>
      <c r="C247" s="135" t="s">
        <v>58</v>
      </c>
      <c r="D247" s="5">
        <v>19</v>
      </c>
      <c r="E247" s="1" t="s">
        <v>29</v>
      </c>
      <c r="F247" s="11">
        <v>45707</v>
      </c>
      <c r="G247" s="31">
        <v>300</v>
      </c>
      <c r="H247" s="4" t="s">
        <v>9</v>
      </c>
      <c r="I247" s="4">
        <v>600</v>
      </c>
      <c r="J247" s="16">
        <v>398</v>
      </c>
      <c r="K247" s="90">
        <v>45734</v>
      </c>
      <c r="L247" s="38">
        <v>45748</v>
      </c>
      <c r="M247" s="1">
        <v>24614</v>
      </c>
      <c r="N247" s="13">
        <v>150000</v>
      </c>
      <c r="O247" s="7">
        <f t="shared" si="30"/>
        <v>-150000</v>
      </c>
      <c r="P247" s="10">
        <f t="shared" si="31"/>
        <v>59700</v>
      </c>
      <c r="Q247" s="10">
        <f t="shared" si="32"/>
        <v>1492.5</v>
      </c>
      <c r="R247" s="31">
        <v>2.5</v>
      </c>
      <c r="S247" s="1" t="s">
        <v>3</v>
      </c>
      <c r="T247" s="8"/>
    </row>
    <row r="248" spans="1:20" x14ac:dyDescent="0.3">
      <c r="A248" s="89" t="s">
        <v>83</v>
      </c>
      <c r="B248" s="135" t="s">
        <v>43</v>
      </c>
      <c r="C248" s="134" t="s">
        <v>64</v>
      </c>
      <c r="D248" s="5">
        <v>20</v>
      </c>
      <c r="E248" s="1" t="s">
        <v>10</v>
      </c>
      <c r="F248" s="11">
        <v>45764</v>
      </c>
      <c r="G248" s="15">
        <v>400</v>
      </c>
      <c r="H248" s="4" t="s">
        <v>9</v>
      </c>
      <c r="I248" s="4">
        <f>(G248)</f>
        <v>400</v>
      </c>
      <c r="J248" s="16">
        <v>166.2</v>
      </c>
      <c r="K248" s="90">
        <v>45764</v>
      </c>
      <c r="L248" s="38">
        <v>45798</v>
      </c>
      <c r="M248" s="1">
        <v>24893</v>
      </c>
      <c r="N248" s="13">
        <v>420000</v>
      </c>
      <c r="O248" s="7">
        <f>(N248-G248*1000)</f>
        <v>20000</v>
      </c>
      <c r="P248" s="10">
        <f t="shared" si="31"/>
        <v>69804</v>
      </c>
      <c r="Q248" s="10">
        <f t="shared" si="32"/>
        <v>1745.1000000000001</v>
      </c>
      <c r="R248" s="31">
        <v>2.5</v>
      </c>
      <c r="S248" s="101"/>
      <c r="T248" s="55"/>
    </row>
    <row r="249" spans="1:20" x14ac:dyDescent="0.3">
      <c r="A249" s="89" t="s">
        <v>83</v>
      </c>
      <c r="B249" s="135" t="s">
        <v>43</v>
      </c>
      <c r="C249" s="135" t="s">
        <v>63</v>
      </c>
      <c r="D249" s="5">
        <v>21</v>
      </c>
      <c r="E249" s="1" t="s">
        <v>10</v>
      </c>
      <c r="F249" s="11">
        <v>45764</v>
      </c>
      <c r="G249" s="61">
        <v>100</v>
      </c>
      <c r="H249" s="4" t="s">
        <v>9</v>
      </c>
      <c r="I249" s="4">
        <v>100</v>
      </c>
      <c r="J249" s="16">
        <v>232.1</v>
      </c>
      <c r="K249" s="90">
        <v>45764</v>
      </c>
      <c r="L249" s="38" t="s">
        <v>70</v>
      </c>
      <c r="M249" s="1">
        <v>24893</v>
      </c>
      <c r="N249" s="13">
        <v>132000</v>
      </c>
      <c r="O249" s="7">
        <f>(N249-G249*1000)</f>
        <v>32000</v>
      </c>
      <c r="P249" s="10">
        <f t="shared" si="31"/>
        <v>30637.200000000001</v>
      </c>
      <c r="Q249" s="10">
        <f t="shared" si="32"/>
        <v>765.93000000000006</v>
      </c>
      <c r="R249" s="31">
        <v>2.5</v>
      </c>
      <c r="S249" s="101"/>
      <c r="T249" s="55"/>
    </row>
    <row r="250" spans="1:20" x14ac:dyDescent="0.3">
      <c r="A250" s="89" t="s">
        <v>83</v>
      </c>
      <c r="B250" s="138" t="s">
        <v>43</v>
      </c>
      <c r="C250" s="136" t="s">
        <v>64</v>
      </c>
      <c r="D250" s="30">
        <v>22</v>
      </c>
      <c r="E250" s="19" t="s">
        <v>10</v>
      </c>
      <c r="F250" s="32">
        <v>45807</v>
      </c>
      <c r="G250" s="52">
        <v>200</v>
      </c>
      <c r="H250" s="23" t="s">
        <v>9</v>
      </c>
      <c r="I250" s="23">
        <v>200</v>
      </c>
      <c r="J250" s="24">
        <v>170.9</v>
      </c>
      <c r="K250" s="92">
        <v>45824</v>
      </c>
      <c r="L250" s="93">
        <v>45457</v>
      </c>
      <c r="M250" s="19">
        <v>25002</v>
      </c>
      <c r="N250" s="21">
        <v>200000</v>
      </c>
      <c r="O250" s="20">
        <f>(N250-G250*1000)</f>
        <v>0</v>
      </c>
      <c r="P250" s="25">
        <f t="shared" si="31"/>
        <v>34180</v>
      </c>
      <c r="Q250" s="25">
        <f t="shared" si="32"/>
        <v>854.5</v>
      </c>
      <c r="R250" s="49">
        <v>2.5</v>
      </c>
      <c r="S250" s="1" t="s">
        <v>3</v>
      </c>
      <c r="T250" s="55"/>
    </row>
    <row r="251" spans="1:20" x14ac:dyDescent="0.3">
      <c r="A251" s="89" t="s">
        <v>83</v>
      </c>
      <c r="B251" s="138" t="s">
        <v>43</v>
      </c>
      <c r="C251" s="138" t="s">
        <v>63</v>
      </c>
      <c r="D251" s="30">
        <v>23</v>
      </c>
      <c r="E251" s="19" t="s">
        <v>10</v>
      </c>
      <c r="F251" s="32">
        <v>45807</v>
      </c>
      <c r="G251" s="76">
        <v>100</v>
      </c>
      <c r="H251" s="23" t="s">
        <v>9</v>
      </c>
      <c r="I251" s="23">
        <v>100</v>
      </c>
      <c r="J251" s="24">
        <v>238.6</v>
      </c>
      <c r="K251" s="92">
        <v>45824</v>
      </c>
      <c r="L251" s="93">
        <v>45822</v>
      </c>
      <c r="M251" s="19">
        <v>25002</v>
      </c>
      <c r="N251" s="21">
        <v>100000</v>
      </c>
      <c r="O251" s="20">
        <f>(N251-G251*1000)</f>
        <v>0</v>
      </c>
      <c r="P251" s="25">
        <f t="shared" si="31"/>
        <v>23860</v>
      </c>
      <c r="Q251" s="25">
        <f t="shared" si="32"/>
        <v>596.5</v>
      </c>
      <c r="R251" s="49">
        <v>2.5</v>
      </c>
      <c r="S251" s="1" t="s">
        <v>3</v>
      </c>
      <c r="T251" s="55"/>
    </row>
    <row r="252" spans="1:20" x14ac:dyDescent="0.3">
      <c r="A252" s="89" t="s">
        <v>83</v>
      </c>
      <c r="B252" s="144" t="s">
        <v>71</v>
      </c>
      <c r="C252" s="133" t="s">
        <v>191</v>
      </c>
      <c r="D252" s="87">
        <v>19</v>
      </c>
      <c r="E252" s="80"/>
      <c r="F252" s="120"/>
      <c r="G252" s="121"/>
      <c r="H252" s="83"/>
      <c r="I252" s="83"/>
      <c r="J252" s="84"/>
      <c r="K252" s="114"/>
      <c r="L252" s="115"/>
      <c r="M252" s="83"/>
      <c r="N252" s="85"/>
      <c r="O252" s="85"/>
      <c r="P252" s="84"/>
      <c r="Q252" s="84"/>
      <c r="R252" s="119"/>
      <c r="S252" s="91"/>
    </row>
    <row r="253" spans="1:20" x14ac:dyDescent="0.3">
      <c r="B253" s="144"/>
      <c r="C253" s="133"/>
      <c r="D253" s="87"/>
      <c r="E253" s="80"/>
      <c r="F253" s="81"/>
      <c r="G253" s="122"/>
      <c r="H253" s="83"/>
      <c r="I253" s="118"/>
      <c r="J253" s="84"/>
      <c r="K253" s="114"/>
      <c r="L253" s="115"/>
      <c r="M253" s="83"/>
      <c r="N253" s="85"/>
      <c r="O253" s="85"/>
      <c r="P253" s="88"/>
      <c r="Q253" s="84"/>
      <c r="R253" s="80"/>
      <c r="S253" s="91"/>
    </row>
    <row r="254" spans="1:20" x14ac:dyDescent="0.3">
      <c r="B254" s="144"/>
      <c r="C254" s="133"/>
      <c r="D254" s="87"/>
      <c r="E254" s="80"/>
      <c r="F254" s="81"/>
      <c r="G254" s="123"/>
      <c r="H254" s="83"/>
      <c r="I254" s="83"/>
      <c r="J254" s="84"/>
      <c r="K254" s="114"/>
      <c r="L254" s="115"/>
      <c r="M254" s="83"/>
      <c r="N254" s="85"/>
      <c r="O254" s="85"/>
      <c r="P254" s="88"/>
      <c r="Q254" s="84"/>
      <c r="R254" s="80"/>
      <c r="S254" s="80"/>
    </row>
    <row r="255" spans="1:20" x14ac:dyDescent="0.3">
      <c r="B255" s="144"/>
      <c r="C255" s="133"/>
      <c r="D255" s="87"/>
      <c r="E255" s="80"/>
      <c r="F255" s="81"/>
      <c r="G255" s="123"/>
      <c r="H255" s="83"/>
      <c r="I255" s="83"/>
      <c r="J255" s="84"/>
      <c r="K255" s="114"/>
      <c r="L255" s="115"/>
      <c r="M255" s="83"/>
      <c r="N255" s="85"/>
      <c r="O255" s="85"/>
      <c r="P255" s="88"/>
      <c r="Q255" s="84"/>
      <c r="R255" s="80"/>
      <c r="S255" s="80"/>
    </row>
    <row r="256" spans="1:20" x14ac:dyDescent="0.3">
      <c r="B256" s="135"/>
      <c r="C256" s="134"/>
      <c r="D256" s="75"/>
      <c r="E256" s="4"/>
      <c r="F256" s="2"/>
      <c r="G256" s="17"/>
      <c r="H256" s="4"/>
      <c r="I256" s="4"/>
      <c r="J256" s="6"/>
      <c r="K256" s="90"/>
      <c r="L256" s="38"/>
      <c r="M256" s="1"/>
      <c r="N256" s="7"/>
      <c r="O256" s="7"/>
      <c r="P256" s="6"/>
      <c r="Q256" s="6"/>
      <c r="R256" s="124"/>
      <c r="S256" s="80"/>
    </row>
    <row r="257" spans="2:19" x14ac:dyDescent="0.3">
      <c r="B257" s="135"/>
      <c r="C257" s="134"/>
      <c r="D257" s="75"/>
      <c r="E257" s="4"/>
      <c r="F257" s="2"/>
      <c r="G257" s="17"/>
      <c r="H257" s="4"/>
      <c r="I257" s="4"/>
      <c r="J257" s="6"/>
      <c r="K257" s="90"/>
      <c r="L257" s="38"/>
      <c r="M257" s="1"/>
      <c r="N257" s="7"/>
      <c r="O257" s="7"/>
      <c r="P257" s="6"/>
      <c r="Q257" s="6"/>
      <c r="R257" s="124"/>
      <c r="S257" s="1"/>
    </row>
    <row r="258" spans="2:19" x14ac:dyDescent="0.3">
      <c r="B258" s="144"/>
      <c r="C258" s="133"/>
      <c r="D258" s="87"/>
      <c r="E258" s="83"/>
      <c r="F258" s="81"/>
      <c r="G258" s="125"/>
      <c r="H258" s="83"/>
      <c r="I258" s="83"/>
      <c r="J258" s="84"/>
      <c r="K258" s="114"/>
      <c r="L258" s="115"/>
      <c r="M258" s="80"/>
      <c r="N258" s="85"/>
      <c r="O258" s="85"/>
      <c r="P258" s="84"/>
      <c r="Q258" s="84"/>
      <c r="R258" s="126"/>
      <c r="S258" s="1"/>
    </row>
    <row r="259" spans="2:19" x14ac:dyDescent="0.3">
      <c r="B259" s="135"/>
      <c r="C259" s="135"/>
      <c r="D259" s="5"/>
      <c r="E259" s="1"/>
      <c r="F259" s="11"/>
      <c r="G259" s="15"/>
      <c r="H259" s="4"/>
      <c r="I259" s="4"/>
      <c r="J259" s="16"/>
      <c r="K259" s="90"/>
      <c r="L259" s="38"/>
      <c r="M259" s="4"/>
      <c r="N259" s="7"/>
      <c r="O259" s="4"/>
      <c r="P259" s="6"/>
      <c r="Q259" s="6"/>
      <c r="R259" s="13"/>
      <c r="S259" s="1"/>
    </row>
    <row r="260" spans="2:19" x14ac:dyDescent="0.3">
      <c r="B260" s="135"/>
      <c r="C260" s="135"/>
      <c r="D260" s="5"/>
      <c r="E260" s="1"/>
      <c r="F260" s="11"/>
      <c r="G260" s="15"/>
      <c r="H260" s="4"/>
      <c r="I260" s="4"/>
      <c r="J260" s="16"/>
      <c r="K260" s="90"/>
      <c r="L260" s="38"/>
      <c r="M260" s="4"/>
      <c r="N260" s="7"/>
      <c r="O260" s="4"/>
      <c r="P260" s="6"/>
      <c r="Q260" s="6"/>
      <c r="R260" s="13"/>
      <c r="S260" s="91"/>
    </row>
    <row r="261" spans="2:19" x14ac:dyDescent="0.3">
      <c r="B261" s="135"/>
      <c r="C261" s="134"/>
      <c r="D261" s="75"/>
      <c r="E261" s="1"/>
      <c r="F261" s="2"/>
      <c r="G261" s="9"/>
      <c r="H261" s="4"/>
      <c r="I261" s="4"/>
      <c r="J261" s="6"/>
      <c r="K261" s="90"/>
      <c r="L261" s="127"/>
      <c r="M261" s="4"/>
      <c r="N261" s="7"/>
      <c r="O261" s="4"/>
      <c r="P261" s="6"/>
      <c r="Q261" s="6"/>
      <c r="R261" s="13"/>
      <c r="S261" s="1"/>
    </row>
    <row r="262" spans="2:19" x14ac:dyDescent="0.3">
      <c r="B262" s="135"/>
      <c r="C262" s="134"/>
      <c r="D262" s="5"/>
      <c r="E262" s="1"/>
      <c r="F262" s="11"/>
      <c r="G262" s="3"/>
      <c r="H262" s="1"/>
      <c r="I262" s="1"/>
      <c r="J262" s="16"/>
      <c r="K262" s="90"/>
      <c r="L262" s="38"/>
      <c r="M262" s="128"/>
      <c r="N262" s="13"/>
      <c r="O262" s="13"/>
      <c r="P262" s="10"/>
      <c r="Q262" s="10"/>
      <c r="R262" s="1"/>
      <c r="S262" s="91"/>
    </row>
    <row r="263" spans="2:19" x14ac:dyDescent="0.3">
      <c r="B263" s="135"/>
      <c r="C263" s="134"/>
      <c r="D263" s="5"/>
      <c r="E263" s="1"/>
      <c r="F263" s="11"/>
      <c r="G263" s="3"/>
      <c r="H263" s="1"/>
      <c r="I263" s="1"/>
      <c r="J263" s="16"/>
      <c r="K263" s="90"/>
      <c r="L263" s="38"/>
      <c r="M263" s="1"/>
      <c r="N263" s="13"/>
      <c r="O263" s="13"/>
      <c r="P263" s="10"/>
      <c r="Q263" s="10"/>
      <c r="R263" s="1"/>
      <c r="S263" s="116"/>
    </row>
    <row r="264" spans="2:19" x14ac:dyDescent="0.3">
      <c r="B264" s="135"/>
      <c r="C264" s="134"/>
      <c r="D264" s="5"/>
      <c r="E264" s="1"/>
      <c r="F264" s="11"/>
      <c r="G264" s="3"/>
      <c r="H264" s="1"/>
      <c r="I264" s="1"/>
      <c r="J264" s="16"/>
      <c r="K264" s="90"/>
      <c r="L264" s="38"/>
      <c r="M264" s="1"/>
      <c r="N264" s="7"/>
      <c r="O264" s="1"/>
      <c r="P264" s="10"/>
      <c r="Q264" s="10"/>
      <c r="R264" s="1"/>
      <c r="S264" s="117"/>
    </row>
    <row r="265" spans="2:19" x14ac:dyDescent="0.3">
      <c r="B265" s="135"/>
      <c r="C265" s="134"/>
      <c r="D265" s="75"/>
      <c r="E265" s="1"/>
      <c r="F265" s="2"/>
      <c r="G265" s="9"/>
      <c r="H265" s="4"/>
      <c r="I265" s="4"/>
      <c r="J265" s="6"/>
      <c r="K265" s="90"/>
      <c r="L265" s="38"/>
      <c r="M265" s="4"/>
      <c r="N265" s="7"/>
      <c r="O265" s="7"/>
      <c r="P265" s="10"/>
      <c r="Q265" s="6"/>
      <c r="R265" s="1"/>
      <c r="S265" s="78"/>
    </row>
    <row r="266" spans="2:19" x14ac:dyDescent="0.3">
      <c r="B266" s="135"/>
      <c r="C266" s="134"/>
      <c r="D266" s="75"/>
      <c r="E266" s="1"/>
      <c r="F266" s="2"/>
      <c r="G266" s="71"/>
      <c r="H266" s="4"/>
      <c r="I266" s="4"/>
      <c r="J266" s="6"/>
      <c r="K266" s="90"/>
      <c r="L266" s="38"/>
      <c r="M266" s="4"/>
      <c r="N266" s="7"/>
      <c r="O266" s="7"/>
      <c r="P266" s="10"/>
      <c r="Q266" s="6"/>
      <c r="R266" s="1"/>
      <c r="S266" s="78"/>
    </row>
    <row r="267" spans="2:19" x14ac:dyDescent="0.3">
      <c r="B267" s="135"/>
      <c r="C267" s="134"/>
      <c r="D267" s="75"/>
      <c r="E267" s="1"/>
      <c r="F267" s="2"/>
      <c r="G267" s="9"/>
      <c r="H267" s="4"/>
      <c r="I267" s="4"/>
      <c r="J267" s="6"/>
      <c r="K267" s="90"/>
      <c r="L267" s="38"/>
      <c r="M267" s="4"/>
      <c r="N267" s="7"/>
      <c r="O267" s="7"/>
      <c r="P267" s="10"/>
      <c r="Q267" s="6"/>
      <c r="R267" s="1"/>
      <c r="S267" s="78"/>
    </row>
    <row r="268" spans="2:19" x14ac:dyDescent="0.3">
      <c r="B268" s="135"/>
      <c r="C268" s="135"/>
      <c r="D268" s="5"/>
      <c r="E268" s="1"/>
      <c r="F268" s="2"/>
      <c r="G268" s="3"/>
      <c r="H268" s="4"/>
      <c r="I268" s="4"/>
      <c r="J268" s="16"/>
      <c r="K268" s="90"/>
      <c r="L268" s="38"/>
      <c r="M268" s="4"/>
      <c r="N268" s="7"/>
      <c r="O268" s="4"/>
      <c r="P268" s="6"/>
      <c r="Q268" s="6"/>
      <c r="R268" s="13"/>
      <c r="S268" s="91"/>
    </row>
    <row r="269" spans="2:19" x14ac:dyDescent="0.3">
      <c r="B269" s="144"/>
      <c r="C269" s="144"/>
      <c r="D269" s="118"/>
      <c r="E269" s="80"/>
      <c r="F269" s="81"/>
      <c r="G269" s="82"/>
      <c r="H269" s="83"/>
      <c r="I269" s="83"/>
      <c r="J269" s="129"/>
      <c r="K269" s="114"/>
      <c r="L269" s="115"/>
      <c r="M269" s="83"/>
      <c r="N269" s="85"/>
      <c r="O269" s="83"/>
      <c r="P269" s="84"/>
      <c r="Q269" s="84"/>
      <c r="R269" s="119"/>
      <c r="S269" s="78"/>
    </row>
    <row r="270" spans="2:19" x14ac:dyDescent="0.3">
      <c r="B270" s="146"/>
      <c r="C270" s="146"/>
      <c r="D270" s="210"/>
      <c r="E270" s="91"/>
      <c r="F270" s="91"/>
      <c r="G270" s="91"/>
      <c r="H270" s="91"/>
      <c r="I270" s="91"/>
      <c r="J270" s="94"/>
      <c r="K270" s="91"/>
      <c r="L270" s="130"/>
      <c r="M270" s="91"/>
      <c r="N270" s="91"/>
      <c r="O270" s="91"/>
      <c r="P270" s="94"/>
      <c r="Q270" s="94"/>
      <c r="R270" s="91"/>
      <c r="S270" s="78"/>
    </row>
    <row r="271" spans="2:19" x14ac:dyDescent="0.3">
      <c r="B271" s="146"/>
      <c r="C271" s="146"/>
      <c r="D271" s="210"/>
      <c r="E271" s="91"/>
      <c r="F271" s="91"/>
      <c r="G271" s="91"/>
      <c r="H271" s="91"/>
      <c r="I271" s="91"/>
      <c r="J271" s="91"/>
      <c r="K271" s="91"/>
      <c r="L271" s="130"/>
      <c r="M271" s="91"/>
      <c r="N271" s="91"/>
      <c r="O271" s="91"/>
      <c r="P271" s="94"/>
      <c r="Q271" s="94"/>
      <c r="R271" s="91"/>
      <c r="S271" s="78"/>
    </row>
    <row r="272" spans="2:19" x14ac:dyDescent="0.3">
      <c r="B272" s="144"/>
      <c r="C272" s="144"/>
      <c r="D272" s="87"/>
      <c r="E272" s="80"/>
      <c r="F272" s="81"/>
      <c r="G272" s="125"/>
      <c r="H272" s="83"/>
      <c r="I272" s="83"/>
      <c r="J272" s="84"/>
      <c r="K272" s="114"/>
      <c r="L272" s="115"/>
      <c r="M272" s="80"/>
      <c r="N272" s="85"/>
      <c r="O272" s="85"/>
      <c r="P272" s="84"/>
      <c r="Q272" s="84"/>
      <c r="R272" s="126"/>
      <c r="S272" s="78"/>
    </row>
    <row r="273" spans="2:19" x14ac:dyDescent="0.3">
      <c r="B273" s="144"/>
      <c r="C273" s="144"/>
      <c r="D273" s="118"/>
      <c r="E273" s="80"/>
      <c r="F273" s="81"/>
      <c r="G273" s="82"/>
      <c r="H273" s="83"/>
      <c r="I273" s="83"/>
      <c r="J273" s="88"/>
      <c r="K273" s="114"/>
      <c r="L273" s="115"/>
      <c r="M273" s="80"/>
      <c r="N273" s="119"/>
      <c r="O273" s="119"/>
      <c r="P273" s="88"/>
      <c r="Q273" s="88"/>
      <c r="R273" s="126"/>
      <c r="S273" s="78"/>
    </row>
    <row r="274" spans="2:19" x14ac:dyDescent="0.3">
      <c r="B274" s="144"/>
      <c r="C274" s="133"/>
      <c r="D274" s="87"/>
      <c r="E274" s="83"/>
      <c r="F274" s="81"/>
      <c r="G274" s="125"/>
      <c r="H274" s="83"/>
      <c r="I274" s="83"/>
      <c r="J274" s="84"/>
      <c r="K274" s="114"/>
      <c r="L274" s="115"/>
      <c r="M274" s="80"/>
      <c r="N274" s="85"/>
      <c r="O274" s="85"/>
      <c r="P274" s="84"/>
      <c r="Q274" s="84"/>
      <c r="R274" s="126"/>
      <c r="S274" s="91"/>
    </row>
    <row r="275" spans="2:19" x14ac:dyDescent="0.3">
      <c r="B275" s="144"/>
      <c r="C275" s="133"/>
      <c r="D275" s="87"/>
      <c r="E275" s="83"/>
      <c r="F275" s="81"/>
      <c r="G275" s="125"/>
      <c r="H275" s="83"/>
      <c r="I275" s="83"/>
      <c r="J275" s="84"/>
      <c r="K275" s="114"/>
      <c r="L275" s="115"/>
      <c r="M275" s="80"/>
      <c r="N275" s="85"/>
      <c r="O275" s="85"/>
      <c r="P275" s="84"/>
      <c r="Q275" s="84"/>
      <c r="R275" s="126"/>
      <c r="S275" s="91"/>
    </row>
    <row r="276" spans="2:19" x14ac:dyDescent="0.3">
      <c r="B276" s="146"/>
      <c r="C276" s="146"/>
      <c r="D276" s="210"/>
      <c r="E276" s="91"/>
      <c r="F276" s="91"/>
      <c r="G276" s="91"/>
      <c r="H276" s="91"/>
      <c r="I276" s="91"/>
      <c r="J276" s="94"/>
      <c r="K276" s="91"/>
      <c r="L276" s="130"/>
      <c r="M276" s="91"/>
      <c r="N276" s="91"/>
      <c r="O276" s="91"/>
      <c r="P276" s="94"/>
      <c r="Q276" s="94"/>
      <c r="R276" s="91"/>
      <c r="S276" s="91"/>
    </row>
    <row r="277" spans="2:19" x14ac:dyDescent="0.3">
      <c r="B277" s="146"/>
      <c r="C277" s="146"/>
      <c r="D277" s="210"/>
      <c r="E277" s="91"/>
      <c r="F277" s="91"/>
      <c r="G277" s="91"/>
      <c r="H277" s="91"/>
      <c r="I277" s="91"/>
      <c r="J277" s="94"/>
      <c r="K277" s="91"/>
      <c r="L277" s="130"/>
      <c r="M277" s="91"/>
      <c r="N277" s="91"/>
      <c r="O277" s="91"/>
      <c r="P277" s="94"/>
      <c r="Q277" s="94"/>
      <c r="R277" s="91"/>
      <c r="S277" s="91"/>
    </row>
    <row r="278" spans="2:19" x14ac:dyDescent="0.3">
      <c r="B278" s="146"/>
      <c r="C278" s="146"/>
      <c r="D278" s="210"/>
      <c r="E278" s="91"/>
      <c r="F278" s="91"/>
      <c r="G278" s="91"/>
      <c r="H278" s="91"/>
      <c r="I278" s="91"/>
      <c r="J278" s="94"/>
      <c r="K278" s="91"/>
      <c r="L278" s="131"/>
      <c r="M278" s="91"/>
      <c r="N278" s="91"/>
      <c r="O278" s="91"/>
      <c r="P278" s="94"/>
      <c r="Q278" s="94"/>
      <c r="R278" s="91"/>
      <c r="S278" s="91"/>
    </row>
    <row r="279" spans="2:19" x14ac:dyDescent="0.3">
      <c r="B279" s="146"/>
      <c r="C279" s="146"/>
      <c r="D279" s="210"/>
      <c r="E279" s="91"/>
      <c r="F279" s="91"/>
      <c r="G279" s="91"/>
      <c r="H279" s="91"/>
      <c r="I279" s="91"/>
      <c r="J279" s="94"/>
      <c r="K279" s="91"/>
      <c r="L279" s="131"/>
      <c r="M279" s="91"/>
      <c r="N279" s="91"/>
      <c r="O279" s="91"/>
      <c r="P279" s="94"/>
      <c r="Q279" s="94"/>
      <c r="R279" s="91"/>
      <c r="S279" s="91"/>
    </row>
    <row r="280" spans="2:19" x14ac:dyDescent="0.3">
      <c r="B280" s="146"/>
      <c r="C280" s="146"/>
      <c r="D280" s="210"/>
      <c r="E280" s="91"/>
      <c r="F280" s="91"/>
      <c r="G280" s="91"/>
      <c r="H280" s="91"/>
      <c r="I280" s="91"/>
      <c r="J280" s="94"/>
      <c r="K280" s="91"/>
      <c r="L280" s="131"/>
      <c r="M280" s="91"/>
      <c r="N280" s="91"/>
      <c r="O280" s="91"/>
      <c r="P280" s="94"/>
      <c r="Q280" s="94"/>
      <c r="R280" s="91"/>
      <c r="S280" s="91"/>
    </row>
    <row r="281" spans="2:19" x14ac:dyDescent="0.3">
      <c r="B281" s="146"/>
      <c r="C281" s="146"/>
      <c r="D281" s="210"/>
      <c r="E281" s="91"/>
      <c r="F281" s="91"/>
      <c r="G281" s="91"/>
      <c r="H281" s="91"/>
      <c r="I281" s="91"/>
      <c r="J281" s="94"/>
      <c r="K281" s="91"/>
      <c r="L281" s="131"/>
      <c r="M281" s="91"/>
      <c r="N281" s="91"/>
      <c r="O281" s="91"/>
      <c r="P281" s="94"/>
      <c r="Q281" s="94"/>
      <c r="R281" s="91"/>
      <c r="S281" s="80"/>
    </row>
    <row r="282" spans="2:19" x14ac:dyDescent="0.3">
      <c r="B282" s="146"/>
      <c r="C282" s="146"/>
      <c r="D282" s="210"/>
      <c r="E282" s="91"/>
      <c r="F282" s="91"/>
      <c r="G282" s="91"/>
      <c r="H282" s="91"/>
      <c r="I282" s="91"/>
      <c r="J282" s="94"/>
      <c r="K282" s="91"/>
      <c r="L282" s="130"/>
      <c r="M282" s="91"/>
      <c r="N282" s="91"/>
      <c r="O282" s="91"/>
      <c r="P282" s="94"/>
      <c r="Q282" s="94"/>
      <c r="R282" s="91"/>
      <c r="S282" s="80"/>
    </row>
    <row r="283" spans="2:19" x14ac:dyDescent="0.3">
      <c r="B283" s="146"/>
      <c r="C283" s="146"/>
      <c r="D283" s="210"/>
      <c r="E283" s="91"/>
      <c r="F283" s="91"/>
      <c r="G283" s="91"/>
      <c r="H283" s="91"/>
      <c r="I283" s="91"/>
      <c r="J283" s="94"/>
      <c r="K283" s="91"/>
      <c r="L283" s="130"/>
      <c r="M283" s="91"/>
      <c r="N283" s="91"/>
      <c r="O283" s="91"/>
      <c r="P283" s="94"/>
      <c r="Q283" s="94"/>
      <c r="R283" s="91"/>
      <c r="S283" s="80"/>
    </row>
    <row r="284" spans="2:19" x14ac:dyDescent="0.3">
      <c r="B284" s="146"/>
      <c r="C284" s="146"/>
      <c r="D284" s="210"/>
      <c r="E284" s="91"/>
      <c r="F284" s="91"/>
      <c r="G284" s="91"/>
      <c r="H284" s="91"/>
      <c r="I284" s="91"/>
      <c r="J284" s="94"/>
      <c r="K284" s="91"/>
      <c r="L284" s="130"/>
      <c r="M284" s="91"/>
      <c r="N284" s="91"/>
      <c r="O284" s="91"/>
      <c r="P284" s="94"/>
      <c r="Q284" s="94"/>
      <c r="R284" s="91"/>
      <c r="S284" s="1"/>
    </row>
    <row r="285" spans="2:19" x14ac:dyDescent="0.3">
      <c r="B285" s="146"/>
      <c r="C285" s="146"/>
      <c r="D285" s="210"/>
      <c r="E285" s="91"/>
      <c r="F285" s="91"/>
      <c r="G285" s="91"/>
      <c r="H285" s="91"/>
      <c r="I285" s="91"/>
      <c r="J285" s="94"/>
      <c r="K285" s="91"/>
      <c r="L285" s="130"/>
      <c r="M285" s="91"/>
      <c r="N285" s="91"/>
      <c r="O285" s="91"/>
      <c r="P285" s="94"/>
      <c r="Q285" s="94"/>
      <c r="R285" s="91"/>
      <c r="S285" s="1"/>
    </row>
    <row r="286" spans="2:19" x14ac:dyDescent="0.3">
      <c r="B286" s="146"/>
      <c r="C286" s="146"/>
      <c r="D286" s="210"/>
      <c r="E286" s="91"/>
      <c r="F286" s="91"/>
      <c r="G286" s="91"/>
      <c r="H286" s="91"/>
      <c r="I286" s="91"/>
      <c r="J286" s="94"/>
      <c r="K286" s="91"/>
      <c r="L286" s="130"/>
      <c r="M286" s="91"/>
      <c r="N286" s="91"/>
      <c r="O286" s="91"/>
      <c r="P286" s="94"/>
      <c r="Q286" s="94"/>
      <c r="R286" s="91"/>
      <c r="S286" s="1"/>
    </row>
    <row r="287" spans="2:19" x14ac:dyDescent="0.3">
      <c r="B287" s="146"/>
      <c r="C287" s="146"/>
      <c r="D287" s="210"/>
      <c r="E287" s="91"/>
      <c r="F287" s="91"/>
      <c r="G287" s="91"/>
      <c r="H287" s="91"/>
      <c r="I287" s="91"/>
      <c r="J287" s="91"/>
      <c r="K287" s="91"/>
      <c r="L287" s="130"/>
      <c r="M287" s="91"/>
      <c r="N287" s="91"/>
      <c r="O287" s="91"/>
      <c r="P287" s="94"/>
      <c r="Q287" s="94"/>
      <c r="R287" s="91"/>
      <c r="S287" s="91"/>
    </row>
    <row r="288" spans="2:19" x14ac:dyDescent="0.3">
      <c r="B288" s="146"/>
      <c r="C288" s="147"/>
      <c r="D288" s="211"/>
      <c r="E288" s="116"/>
      <c r="F288" s="116"/>
      <c r="G288" s="116"/>
      <c r="H288" s="116"/>
      <c r="I288" s="116"/>
      <c r="J288" s="116"/>
      <c r="K288" s="116"/>
      <c r="L288" s="116"/>
      <c r="M288" s="116"/>
      <c r="N288" s="116"/>
      <c r="O288" s="116"/>
      <c r="P288" s="116"/>
      <c r="Q288" s="116"/>
      <c r="R288" s="116"/>
      <c r="S288" s="1"/>
    </row>
    <row r="289" spans="2:19" x14ac:dyDescent="0.3">
      <c r="B289" s="155"/>
      <c r="C289" s="148"/>
      <c r="D289" s="212"/>
      <c r="E289" s="117"/>
      <c r="F289" s="117"/>
      <c r="G289" s="117"/>
      <c r="H289" s="117"/>
      <c r="I289" s="117"/>
      <c r="J289" s="117"/>
      <c r="K289" s="117"/>
      <c r="L289" s="117"/>
      <c r="M289" s="117"/>
      <c r="N289" s="117"/>
      <c r="O289" s="117"/>
      <c r="P289" s="117"/>
      <c r="Q289" s="117"/>
      <c r="R289" s="117"/>
      <c r="S289" s="91"/>
    </row>
    <row r="290" spans="2:19" x14ac:dyDescent="0.3">
      <c r="B290" s="142"/>
      <c r="C290" s="142"/>
      <c r="D290" s="20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116"/>
    </row>
    <row r="291" spans="2:19" x14ac:dyDescent="0.3">
      <c r="B291" s="142"/>
      <c r="C291" s="142"/>
      <c r="D291" s="20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117"/>
    </row>
    <row r="292" spans="2:19" x14ac:dyDescent="0.3">
      <c r="B292" s="142"/>
      <c r="C292" s="142"/>
      <c r="D292" s="20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</row>
    <row r="293" spans="2:19" x14ac:dyDescent="0.3">
      <c r="B293" s="144"/>
      <c r="C293" s="144"/>
      <c r="D293" s="118"/>
      <c r="E293" s="80"/>
      <c r="F293" s="81"/>
      <c r="G293" s="82"/>
      <c r="H293" s="83"/>
      <c r="I293" s="83"/>
      <c r="J293" s="88"/>
      <c r="K293" s="114"/>
      <c r="L293" s="115"/>
      <c r="M293" s="80"/>
      <c r="N293" s="119"/>
      <c r="O293" s="119"/>
      <c r="P293" s="88"/>
      <c r="Q293" s="88"/>
      <c r="R293" s="126"/>
      <c r="S293" s="78"/>
    </row>
    <row r="294" spans="2:19" x14ac:dyDescent="0.3">
      <c r="B294" s="144"/>
      <c r="C294" s="144"/>
      <c r="D294" s="118"/>
      <c r="E294" s="80"/>
      <c r="F294" s="81"/>
      <c r="G294" s="82"/>
      <c r="H294" s="83"/>
      <c r="I294" s="83"/>
      <c r="J294" s="88"/>
      <c r="K294" s="114"/>
      <c r="L294" s="115"/>
      <c r="M294" s="80"/>
      <c r="N294" s="119"/>
      <c r="O294" s="119"/>
      <c r="P294" s="88"/>
      <c r="Q294" s="88"/>
      <c r="R294" s="126"/>
      <c r="S294" s="91"/>
    </row>
    <row r="295" spans="2:19" x14ac:dyDescent="0.3">
      <c r="B295" s="144"/>
      <c r="C295" s="144"/>
      <c r="D295" s="87"/>
      <c r="E295" s="80"/>
      <c r="F295" s="81"/>
      <c r="G295" s="125"/>
      <c r="H295" s="83"/>
      <c r="I295" s="83"/>
      <c r="J295" s="84"/>
      <c r="K295" s="114"/>
      <c r="L295" s="115"/>
      <c r="M295" s="80"/>
      <c r="N295" s="85"/>
      <c r="O295" s="85"/>
      <c r="P295" s="84"/>
      <c r="Q295" s="84"/>
      <c r="R295" s="126"/>
      <c r="S295" s="91"/>
    </row>
    <row r="296" spans="2:19" x14ac:dyDescent="0.3">
      <c r="B296" s="144"/>
      <c r="C296" s="144"/>
      <c r="D296" s="118"/>
      <c r="E296" s="80"/>
      <c r="F296" s="81"/>
      <c r="G296" s="82"/>
      <c r="H296" s="83"/>
      <c r="I296" s="83"/>
      <c r="J296" s="88"/>
      <c r="K296" s="114"/>
      <c r="L296" s="115"/>
      <c r="M296" s="80"/>
      <c r="N296" s="119"/>
      <c r="O296" s="119"/>
      <c r="P296" s="88"/>
      <c r="Q296" s="88"/>
      <c r="R296" s="126"/>
      <c r="S296" s="91"/>
    </row>
    <row r="297" spans="2:19" x14ac:dyDescent="0.3">
      <c r="B297" s="144"/>
      <c r="C297" s="133"/>
      <c r="D297" s="87"/>
      <c r="E297" s="83"/>
      <c r="F297" s="81"/>
      <c r="G297" s="125"/>
      <c r="H297" s="83"/>
      <c r="I297" s="83"/>
      <c r="J297" s="84"/>
      <c r="K297" s="114"/>
      <c r="L297" s="115"/>
      <c r="M297" s="80"/>
      <c r="N297" s="85"/>
      <c r="O297" s="85"/>
      <c r="P297" s="84"/>
      <c r="Q297" s="84"/>
      <c r="R297" s="126"/>
      <c r="S297" s="91"/>
    </row>
    <row r="298" spans="2:19" x14ac:dyDescent="0.3">
      <c r="B298" s="144"/>
      <c r="C298" s="133"/>
      <c r="D298" s="87"/>
      <c r="E298" s="83"/>
      <c r="F298" s="81"/>
      <c r="G298" s="125"/>
      <c r="H298" s="83"/>
      <c r="I298" s="83"/>
      <c r="J298" s="84"/>
      <c r="K298" s="114"/>
      <c r="L298" s="115"/>
      <c r="M298" s="80"/>
      <c r="N298" s="85"/>
      <c r="O298" s="85"/>
      <c r="P298" s="84"/>
      <c r="Q298" s="84"/>
      <c r="R298" s="126"/>
      <c r="S298" s="91"/>
    </row>
    <row r="299" spans="2:19" x14ac:dyDescent="0.3">
      <c r="B299" s="146"/>
      <c r="C299" s="146"/>
      <c r="D299" s="210"/>
      <c r="E299" s="91"/>
      <c r="F299" s="91"/>
      <c r="G299" s="91"/>
      <c r="H299" s="91"/>
      <c r="I299" s="91"/>
      <c r="J299" s="94"/>
      <c r="K299" s="91"/>
      <c r="L299" s="130"/>
      <c r="M299" s="91"/>
      <c r="N299" s="91"/>
      <c r="O299" s="91"/>
      <c r="P299" s="94"/>
      <c r="Q299" s="94"/>
      <c r="R299" s="91"/>
      <c r="S299" s="91"/>
    </row>
    <row r="300" spans="2:19" x14ac:dyDescent="0.3">
      <c r="B300" s="146"/>
      <c r="C300" s="146"/>
      <c r="D300" s="210"/>
      <c r="E300" s="91"/>
      <c r="F300" s="91"/>
      <c r="G300" s="91"/>
      <c r="H300" s="91"/>
      <c r="I300" s="91"/>
      <c r="J300" s="94"/>
      <c r="K300" s="91"/>
      <c r="L300" s="130"/>
      <c r="M300" s="91"/>
      <c r="N300" s="91"/>
      <c r="O300" s="91"/>
      <c r="P300" s="94"/>
      <c r="Q300" s="94"/>
      <c r="R300" s="91"/>
      <c r="S300" s="91"/>
    </row>
    <row r="301" spans="2:19" x14ac:dyDescent="0.3">
      <c r="B301" s="146"/>
      <c r="C301" s="146"/>
      <c r="D301" s="210"/>
      <c r="E301" s="91"/>
      <c r="F301" s="91"/>
      <c r="G301" s="91"/>
      <c r="H301" s="91"/>
      <c r="I301" s="91"/>
      <c r="J301" s="94"/>
      <c r="K301" s="91"/>
      <c r="L301" s="130"/>
      <c r="M301" s="91"/>
      <c r="N301" s="91"/>
      <c r="O301" s="91"/>
      <c r="P301" s="94"/>
      <c r="Q301" s="94"/>
      <c r="R301" s="91"/>
      <c r="S301" s="91"/>
    </row>
    <row r="302" spans="2:19" x14ac:dyDescent="0.3">
      <c r="B302" s="146"/>
      <c r="C302" s="146"/>
      <c r="D302" s="210"/>
      <c r="E302" s="91"/>
      <c r="F302" s="91"/>
      <c r="G302" s="91"/>
      <c r="H302" s="91"/>
      <c r="I302" s="91"/>
      <c r="J302" s="94"/>
      <c r="K302" s="91"/>
      <c r="L302" s="130"/>
      <c r="M302" s="91"/>
      <c r="N302" s="91"/>
      <c r="O302" s="91"/>
      <c r="P302" s="94"/>
      <c r="Q302" s="94"/>
      <c r="R302" s="91"/>
      <c r="S302" s="91"/>
    </row>
    <row r="303" spans="2:19" x14ac:dyDescent="0.3">
      <c r="B303" s="146"/>
      <c r="C303" s="146"/>
      <c r="D303" s="210"/>
      <c r="E303" s="91"/>
      <c r="F303" s="91"/>
      <c r="G303" s="91"/>
      <c r="H303" s="91"/>
      <c r="I303" s="91"/>
      <c r="J303" s="94"/>
      <c r="K303" s="91"/>
      <c r="L303" s="130"/>
      <c r="M303" s="91"/>
      <c r="N303" s="91"/>
      <c r="O303" s="91"/>
      <c r="P303" s="94"/>
      <c r="Q303" s="94"/>
      <c r="R303" s="91"/>
      <c r="S303" s="91"/>
    </row>
    <row r="304" spans="2:19" x14ac:dyDescent="0.3">
      <c r="B304" s="146"/>
      <c r="C304" s="146"/>
      <c r="D304" s="210"/>
      <c r="E304" s="91"/>
      <c r="F304" s="91"/>
      <c r="G304" s="91"/>
      <c r="H304" s="91"/>
      <c r="I304" s="91"/>
      <c r="J304" s="94"/>
      <c r="K304" s="91"/>
      <c r="L304" s="130"/>
      <c r="M304" s="91"/>
      <c r="N304" s="91"/>
      <c r="O304" s="91"/>
      <c r="P304" s="94"/>
      <c r="Q304" s="94"/>
      <c r="R304" s="91"/>
      <c r="S304" s="91"/>
    </row>
    <row r="305" spans="2:19" x14ac:dyDescent="0.3">
      <c r="B305" s="146"/>
      <c r="C305" s="146"/>
      <c r="D305" s="210"/>
      <c r="E305" s="91"/>
      <c r="F305" s="91"/>
      <c r="G305" s="91"/>
      <c r="H305" s="91"/>
      <c r="I305" s="91"/>
      <c r="J305" s="94"/>
      <c r="K305" s="91"/>
      <c r="L305" s="130"/>
      <c r="M305" s="91"/>
      <c r="N305" s="91"/>
      <c r="O305" s="91"/>
      <c r="P305" s="94"/>
      <c r="Q305" s="94"/>
      <c r="R305" s="91"/>
      <c r="S305" s="116"/>
    </row>
    <row r="306" spans="2:19" x14ac:dyDescent="0.3">
      <c r="B306" s="146"/>
      <c r="C306" s="146"/>
      <c r="D306" s="210"/>
      <c r="E306" s="91"/>
      <c r="F306" s="91"/>
      <c r="G306" s="91"/>
      <c r="H306" s="91"/>
      <c r="I306" s="91"/>
      <c r="J306" s="94"/>
      <c r="K306" s="91"/>
      <c r="L306" s="130"/>
      <c r="M306" s="91"/>
      <c r="N306" s="91"/>
      <c r="O306" s="91"/>
      <c r="P306" s="94"/>
      <c r="Q306" s="94"/>
      <c r="R306" s="91"/>
      <c r="S306" s="117"/>
    </row>
    <row r="307" spans="2:19" x14ac:dyDescent="0.3">
      <c r="B307" s="146"/>
      <c r="C307" s="146"/>
      <c r="D307" s="210"/>
      <c r="E307" s="91"/>
      <c r="F307" s="91"/>
      <c r="G307" s="91"/>
      <c r="H307" s="91"/>
      <c r="I307" s="91"/>
      <c r="J307" s="94"/>
      <c r="K307" s="91"/>
      <c r="L307" s="131"/>
      <c r="M307" s="91"/>
      <c r="N307" s="91"/>
      <c r="O307" s="91"/>
      <c r="P307" s="94"/>
      <c r="Q307" s="94"/>
      <c r="R307" s="91"/>
      <c r="S307" s="78"/>
    </row>
    <row r="308" spans="2:19" x14ac:dyDescent="0.3">
      <c r="B308" s="146"/>
      <c r="C308" s="146"/>
      <c r="D308" s="210"/>
      <c r="E308" s="91"/>
      <c r="F308" s="91"/>
      <c r="G308" s="91"/>
      <c r="H308" s="91"/>
      <c r="I308" s="91"/>
      <c r="J308" s="94"/>
      <c r="K308" s="91"/>
      <c r="L308" s="130"/>
      <c r="M308" s="91"/>
      <c r="N308" s="91"/>
      <c r="O308" s="91"/>
      <c r="P308" s="94"/>
      <c r="Q308" s="94"/>
      <c r="R308" s="91"/>
      <c r="S308" s="78"/>
    </row>
    <row r="309" spans="2:19" x14ac:dyDescent="0.3">
      <c r="B309" s="146"/>
      <c r="C309" s="146"/>
      <c r="D309" s="210"/>
      <c r="E309" s="91"/>
      <c r="F309" s="91"/>
      <c r="G309" s="91"/>
      <c r="H309" s="91"/>
      <c r="I309" s="91"/>
      <c r="J309" s="94"/>
      <c r="K309" s="91"/>
      <c r="L309" s="130"/>
      <c r="M309" s="91"/>
      <c r="N309" s="91"/>
      <c r="O309" s="91"/>
      <c r="P309" s="94"/>
      <c r="Q309" s="94"/>
      <c r="R309" s="91"/>
      <c r="S309" s="78"/>
    </row>
    <row r="310" spans="2:19" x14ac:dyDescent="0.3">
      <c r="B310" s="146"/>
      <c r="C310" s="146"/>
      <c r="D310" s="210"/>
      <c r="E310" s="91"/>
      <c r="F310" s="91"/>
      <c r="G310" s="91"/>
      <c r="H310" s="91"/>
      <c r="I310" s="91"/>
      <c r="J310" s="94"/>
      <c r="K310" s="91"/>
      <c r="L310" s="130"/>
      <c r="M310" s="91"/>
      <c r="N310" s="91"/>
      <c r="O310" s="91"/>
      <c r="P310" s="94"/>
      <c r="Q310" s="94"/>
      <c r="R310" s="91"/>
      <c r="S310" s="78"/>
    </row>
    <row r="311" spans="2:19" x14ac:dyDescent="0.3">
      <c r="B311" s="146"/>
      <c r="C311" s="146"/>
      <c r="D311" s="210"/>
      <c r="E311" s="91"/>
      <c r="F311" s="91"/>
      <c r="G311" s="91"/>
      <c r="H311" s="91"/>
      <c r="I311" s="91"/>
      <c r="J311" s="94"/>
      <c r="K311" s="91"/>
      <c r="L311" s="130"/>
      <c r="M311" s="91"/>
      <c r="N311" s="91"/>
      <c r="O311" s="91"/>
      <c r="P311" s="94"/>
      <c r="Q311" s="94"/>
      <c r="R311" s="91"/>
      <c r="S311" s="78"/>
    </row>
    <row r="312" spans="2:19" x14ac:dyDescent="0.3">
      <c r="B312" s="146"/>
      <c r="C312" s="146"/>
      <c r="D312" s="210"/>
      <c r="E312" s="91"/>
      <c r="F312" s="91"/>
      <c r="G312" s="91"/>
      <c r="H312" s="91"/>
      <c r="I312" s="91"/>
      <c r="J312" s="91"/>
      <c r="K312" s="91"/>
      <c r="L312" s="130"/>
      <c r="M312" s="91"/>
      <c r="N312" s="91"/>
      <c r="O312" s="91"/>
      <c r="P312" s="94"/>
      <c r="Q312" s="94"/>
      <c r="R312" s="91"/>
      <c r="S312" s="78"/>
    </row>
    <row r="313" spans="2:19" x14ac:dyDescent="0.3">
      <c r="B313" s="146"/>
      <c r="C313" s="147"/>
      <c r="D313" s="211"/>
      <c r="E313" s="116"/>
      <c r="F313" s="116"/>
      <c r="G313" s="116"/>
      <c r="H313" s="116"/>
      <c r="I313" s="116"/>
      <c r="J313" s="116"/>
      <c r="K313" s="116"/>
      <c r="L313" s="116"/>
      <c r="M313" s="116"/>
      <c r="N313" s="116"/>
      <c r="O313" s="116"/>
      <c r="P313" s="116"/>
      <c r="Q313" s="116"/>
      <c r="R313" s="116"/>
      <c r="S313" s="91"/>
    </row>
    <row r="314" spans="2:19" x14ac:dyDescent="0.3">
      <c r="B314" s="155"/>
      <c r="C314" s="148"/>
      <c r="D314" s="212"/>
      <c r="E314" s="117"/>
      <c r="F314" s="117"/>
      <c r="G314" s="117"/>
      <c r="H314" s="117"/>
      <c r="I314" s="117"/>
      <c r="J314" s="117"/>
      <c r="K314" s="117"/>
      <c r="L314" s="117"/>
      <c r="M314" s="117"/>
      <c r="N314" s="117"/>
      <c r="O314" s="117"/>
      <c r="P314" s="117"/>
      <c r="Q314" s="117"/>
      <c r="R314" s="117"/>
      <c r="S314" s="91"/>
    </row>
    <row r="315" spans="2:19" x14ac:dyDescent="0.3">
      <c r="B315" s="142"/>
      <c r="C315" s="142"/>
      <c r="D315" s="20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91"/>
    </row>
    <row r="316" spans="2:19" x14ac:dyDescent="0.3">
      <c r="B316" s="142"/>
      <c r="C316" s="142"/>
      <c r="D316" s="20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94"/>
    </row>
    <row r="317" spans="2:19" x14ac:dyDescent="0.3">
      <c r="B317" s="142"/>
      <c r="C317" s="142"/>
      <c r="D317" s="20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91"/>
    </row>
    <row r="318" spans="2:19" x14ac:dyDescent="0.3">
      <c r="B318" s="144"/>
      <c r="C318" s="144"/>
      <c r="D318" s="118"/>
      <c r="E318" s="80"/>
      <c r="F318" s="81"/>
      <c r="G318" s="82"/>
      <c r="H318" s="83"/>
      <c r="I318" s="83"/>
      <c r="J318" s="88"/>
      <c r="K318" s="114"/>
      <c r="L318" s="115"/>
      <c r="M318" s="80"/>
      <c r="N318" s="119"/>
      <c r="O318" s="119"/>
      <c r="P318" s="88"/>
      <c r="Q318" s="88"/>
      <c r="R318" s="126"/>
      <c r="S318" s="91"/>
    </row>
    <row r="319" spans="2:19" x14ac:dyDescent="0.3">
      <c r="B319" s="144"/>
      <c r="C319" s="144"/>
      <c r="D319" s="118"/>
      <c r="E319" s="80"/>
      <c r="F319" s="81"/>
      <c r="G319" s="82"/>
      <c r="H319" s="83"/>
      <c r="I319" s="83"/>
      <c r="J319" s="88"/>
      <c r="K319" s="114"/>
      <c r="L319" s="115"/>
      <c r="M319" s="80"/>
      <c r="N319" s="119"/>
      <c r="O319" s="119"/>
      <c r="P319" s="88"/>
      <c r="Q319" s="88"/>
      <c r="R319" s="126"/>
      <c r="S319" s="91"/>
    </row>
    <row r="320" spans="2:19" x14ac:dyDescent="0.3">
      <c r="B320" s="144"/>
      <c r="C320" s="144"/>
      <c r="D320" s="87"/>
      <c r="E320" s="80"/>
      <c r="F320" s="81"/>
      <c r="G320" s="125"/>
      <c r="H320" s="83"/>
      <c r="I320" s="83"/>
      <c r="J320" s="84"/>
      <c r="K320" s="114"/>
      <c r="L320" s="115"/>
      <c r="M320" s="80"/>
      <c r="N320" s="85"/>
      <c r="O320" s="85"/>
      <c r="P320" s="84"/>
      <c r="Q320" s="84"/>
      <c r="R320" s="126"/>
      <c r="S320" s="91"/>
    </row>
    <row r="321" spans="2:19" x14ac:dyDescent="0.3">
      <c r="B321" s="144"/>
      <c r="C321" s="144"/>
      <c r="D321" s="118"/>
      <c r="E321" s="80"/>
      <c r="F321" s="81"/>
      <c r="G321" s="82"/>
      <c r="H321" s="83"/>
      <c r="I321" s="83"/>
      <c r="J321" s="88"/>
      <c r="K321" s="114"/>
      <c r="L321" s="115"/>
      <c r="M321" s="80"/>
      <c r="N321" s="119"/>
      <c r="O321" s="119"/>
      <c r="P321" s="88"/>
      <c r="Q321" s="88"/>
      <c r="R321" s="126"/>
      <c r="S321" s="91"/>
    </row>
    <row r="322" spans="2:19" x14ac:dyDescent="0.3">
      <c r="B322" s="144"/>
      <c r="C322" s="133"/>
      <c r="D322" s="87"/>
      <c r="E322" s="83"/>
      <c r="F322" s="81"/>
      <c r="G322" s="125"/>
      <c r="H322" s="83"/>
      <c r="I322" s="83"/>
      <c r="J322" s="84"/>
      <c r="K322" s="114"/>
      <c r="L322" s="115"/>
      <c r="M322" s="80"/>
      <c r="N322" s="85"/>
      <c r="O322" s="85"/>
      <c r="P322" s="84"/>
      <c r="Q322" s="84"/>
      <c r="R322" s="126"/>
      <c r="S322" s="91"/>
    </row>
    <row r="323" spans="2:19" x14ac:dyDescent="0.3">
      <c r="B323" s="144"/>
      <c r="C323" s="133"/>
      <c r="D323" s="87"/>
      <c r="E323" s="83"/>
      <c r="F323" s="81"/>
      <c r="G323" s="125"/>
      <c r="H323" s="83"/>
      <c r="I323" s="83"/>
      <c r="J323" s="84"/>
      <c r="K323" s="114"/>
      <c r="L323" s="115"/>
      <c r="M323" s="80"/>
      <c r="N323" s="85"/>
      <c r="O323" s="85"/>
      <c r="P323" s="84"/>
      <c r="Q323" s="84"/>
      <c r="R323" s="126"/>
      <c r="S323" s="91"/>
    </row>
    <row r="324" spans="2:19" x14ac:dyDescent="0.3">
      <c r="B324" s="146"/>
      <c r="C324" s="146"/>
      <c r="D324" s="210"/>
      <c r="E324" s="91"/>
      <c r="F324" s="91"/>
      <c r="G324" s="91"/>
      <c r="H324" s="91"/>
      <c r="I324" s="91"/>
      <c r="J324" s="94"/>
      <c r="K324" s="91"/>
      <c r="L324" s="130"/>
      <c r="M324" s="91"/>
      <c r="N324" s="91"/>
      <c r="O324" s="91"/>
      <c r="P324" s="94"/>
      <c r="Q324" s="94"/>
      <c r="R324" s="91"/>
      <c r="S324" s="91"/>
    </row>
    <row r="325" spans="2:19" x14ac:dyDescent="0.3">
      <c r="B325" s="146"/>
      <c r="C325" s="146"/>
      <c r="D325" s="210"/>
      <c r="E325" s="91"/>
      <c r="F325" s="91"/>
      <c r="G325" s="91"/>
      <c r="H325" s="91"/>
      <c r="I325" s="91"/>
      <c r="J325" s="94"/>
      <c r="K325" s="91"/>
      <c r="L325" s="130"/>
      <c r="M325" s="91"/>
      <c r="N325" s="91"/>
      <c r="O325" s="91"/>
      <c r="P325" s="94"/>
      <c r="Q325" s="94"/>
      <c r="R325" s="91"/>
      <c r="S325" s="91"/>
    </row>
    <row r="326" spans="2:19" x14ac:dyDescent="0.3">
      <c r="B326" s="146"/>
      <c r="C326" s="146"/>
      <c r="D326" s="210"/>
      <c r="E326" s="91"/>
      <c r="F326" s="91"/>
      <c r="G326" s="91"/>
      <c r="H326" s="91"/>
      <c r="I326" s="91"/>
      <c r="J326" s="94"/>
      <c r="K326" s="91"/>
      <c r="L326" s="131"/>
      <c r="M326" s="91"/>
      <c r="N326" s="91"/>
      <c r="O326" s="91"/>
      <c r="P326" s="94"/>
      <c r="Q326" s="94"/>
      <c r="R326" s="91"/>
      <c r="S326" s="91"/>
    </row>
    <row r="327" spans="2:19" x14ac:dyDescent="0.3">
      <c r="B327" s="146"/>
      <c r="C327" s="146"/>
      <c r="D327" s="210"/>
      <c r="E327" s="91"/>
      <c r="F327" s="91"/>
      <c r="G327" s="91"/>
      <c r="H327" s="91"/>
      <c r="I327" s="91"/>
      <c r="J327" s="94"/>
      <c r="K327" s="91"/>
      <c r="L327" s="130"/>
      <c r="M327" s="91"/>
      <c r="N327" s="91"/>
      <c r="O327" s="91"/>
      <c r="P327" s="94"/>
      <c r="Q327" s="94"/>
      <c r="R327" s="91"/>
      <c r="S327" s="91"/>
    </row>
    <row r="328" spans="2:19" x14ac:dyDescent="0.3">
      <c r="B328" s="146"/>
      <c r="C328" s="146"/>
      <c r="D328" s="210"/>
      <c r="E328" s="91"/>
      <c r="F328" s="91"/>
      <c r="G328" s="91"/>
      <c r="H328" s="91"/>
      <c r="I328" s="91"/>
      <c r="J328" s="94"/>
      <c r="K328" s="91"/>
      <c r="L328" s="130"/>
      <c r="M328" s="91"/>
      <c r="N328" s="91"/>
      <c r="O328" s="91"/>
      <c r="P328" s="94"/>
      <c r="Q328" s="94"/>
      <c r="R328" s="91"/>
      <c r="S328" s="91"/>
    </row>
    <row r="329" spans="2:19" x14ac:dyDescent="0.3">
      <c r="B329" s="146"/>
      <c r="C329" s="146"/>
      <c r="D329" s="210"/>
      <c r="E329" s="91"/>
      <c r="F329" s="91"/>
      <c r="G329" s="91"/>
      <c r="H329" s="91"/>
      <c r="I329" s="91"/>
      <c r="J329" s="94"/>
      <c r="K329" s="91"/>
      <c r="L329" s="130"/>
      <c r="M329" s="91"/>
      <c r="N329" s="91"/>
      <c r="O329" s="91"/>
      <c r="P329" s="94"/>
      <c r="Q329" s="94"/>
      <c r="R329" s="91"/>
      <c r="S329" s="91"/>
    </row>
    <row r="330" spans="2:19" x14ac:dyDescent="0.3">
      <c r="B330" s="146"/>
      <c r="C330" s="146"/>
      <c r="D330" s="210"/>
      <c r="E330" s="91"/>
      <c r="F330" s="91"/>
      <c r="G330" s="91"/>
      <c r="H330" s="91"/>
      <c r="I330" s="91"/>
      <c r="J330" s="94"/>
      <c r="K330" s="91"/>
      <c r="L330" s="130"/>
      <c r="M330" s="91"/>
      <c r="N330" s="91"/>
      <c r="O330" s="91"/>
      <c r="P330" s="94"/>
      <c r="Q330" s="94"/>
      <c r="R330" s="91"/>
      <c r="S330" s="91"/>
    </row>
    <row r="331" spans="2:19" x14ac:dyDescent="0.3">
      <c r="B331" s="146"/>
      <c r="C331" s="146"/>
      <c r="D331" s="210"/>
      <c r="E331" s="91"/>
      <c r="F331" s="91"/>
      <c r="G331" s="91"/>
      <c r="H331" s="91"/>
      <c r="I331" s="91"/>
      <c r="J331" s="91"/>
      <c r="K331" s="91"/>
      <c r="L331" s="130"/>
      <c r="M331" s="91"/>
      <c r="N331" s="91"/>
      <c r="O331" s="91"/>
      <c r="P331" s="94"/>
      <c r="Q331" s="94"/>
      <c r="R331" s="91"/>
      <c r="S331" s="116"/>
    </row>
    <row r="332" spans="2:19" x14ac:dyDescent="0.3">
      <c r="B332" s="156"/>
      <c r="C332" s="149"/>
      <c r="D332" s="213"/>
      <c r="E332" s="132"/>
      <c r="F332" s="132"/>
      <c r="G332" s="132"/>
      <c r="H332" s="132"/>
      <c r="I332" s="132"/>
      <c r="J332" s="132"/>
      <c r="K332" s="132"/>
      <c r="L332" s="132"/>
      <c r="M332" s="132"/>
      <c r="N332" s="132"/>
      <c r="O332" s="132"/>
      <c r="P332" s="132"/>
      <c r="Q332" s="132"/>
      <c r="R332" s="132"/>
      <c r="S332" s="117"/>
    </row>
    <row r="333" spans="2:19" x14ac:dyDescent="0.3">
      <c r="B333" s="155"/>
      <c r="C333" s="148"/>
      <c r="D333" s="212"/>
      <c r="E333" s="117"/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78"/>
    </row>
    <row r="334" spans="2:19" x14ac:dyDescent="0.3">
      <c r="B334" s="142"/>
      <c r="C334" s="142"/>
      <c r="D334" s="20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</row>
    <row r="335" spans="2:19" x14ac:dyDescent="0.3">
      <c r="B335" s="142"/>
      <c r="C335" s="142"/>
      <c r="D335" s="20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</row>
    <row r="336" spans="2:19" x14ac:dyDescent="0.3">
      <c r="B336" s="142"/>
      <c r="C336" s="142"/>
      <c r="D336" s="20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</row>
    <row r="337" spans="2:19" x14ac:dyDescent="0.3">
      <c r="B337" s="144"/>
      <c r="C337" s="144"/>
      <c r="D337" s="118"/>
      <c r="E337" s="80"/>
      <c r="F337" s="81"/>
      <c r="G337" s="82"/>
      <c r="H337" s="83"/>
      <c r="I337" s="83"/>
      <c r="J337" s="88"/>
      <c r="K337" s="114"/>
      <c r="L337" s="115"/>
      <c r="M337" s="80"/>
      <c r="N337" s="119"/>
      <c r="O337" s="119"/>
      <c r="P337" s="88"/>
      <c r="Q337" s="88"/>
      <c r="R337" s="126"/>
      <c r="S337" s="78"/>
    </row>
    <row r="338" spans="2:19" x14ac:dyDescent="0.3">
      <c r="B338" s="144"/>
      <c r="C338" s="144"/>
      <c r="D338" s="118"/>
      <c r="E338" s="80"/>
      <c r="F338" s="81"/>
      <c r="G338" s="82"/>
      <c r="H338" s="83"/>
      <c r="I338" s="83"/>
      <c r="J338" s="88"/>
      <c r="K338" s="114"/>
      <c r="L338" s="115"/>
      <c r="M338" s="80"/>
      <c r="N338" s="119"/>
      <c r="O338" s="119"/>
      <c r="P338" s="88"/>
      <c r="Q338" s="88"/>
      <c r="R338" s="126"/>
      <c r="S338" s="91"/>
    </row>
    <row r="339" spans="2:19" x14ac:dyDescent="0.3">
      <c r="B339" s="144"/>
      <c r="C339" s="144"/>
      <c r="D339" s="87"/>
      <c r="E339" s="80"/>
      <c r="F339" s="81"/>
      <c r="G339" s="125"/>
      <c r="H339" s="83"/>
      <c r="I339" s="83"/>
      <c r="J339" s="84"/>
      <c r="K339" s="114"/>
      <c r="L339" s="115"/>
      <c r="M339" s="80"/>
      <c r="N339" s="85"/>
      <c r="O339" s="85"/>
      <c r="P339" s="84"/>
      <c r="Q339" s="84"/>
      <c r="R339" s="126"/>
      <c r="S339" s="91"/>
    </row>
    <row r="340" spans="2:19" x14ac:dyDescent="0.3">
      <c r="B340" s="144"/>
      <c r="C340" s="144"/>
      <c r="D340" s="118"/>
      <c r="E340" s="80"/>
      <c r="F340" s="81"/>
      <c r="G340" s="82"/>
      <c r="H340" s="83"/>
      <c r="I340" s="83"/>
      <c r="J340" s="88"/>
      <c r="K340" s="114"/>
      <c r="L340" s="115"/>
      <c r="M340" s="80"/>
      <c r="N340" s="119"/>
      <c r="O340" s="119"/>
      <c r="P340" s="88"/>
      <c r="Q340" s="88"/>
      <c r="R340" s="126"/>
      <c r="S340" s="91"/>
    </row>
    <row r="341" spans="2:19" x14ac:dyDescent="0.3">
      <c r="B341" s="144"/>
      <c r="C341" s="133"/>
      <c r="D341" s="87"/>
      <c r="E341" s="83"/>
      <c r="F341" s="81"/>
      <c r="G341" s="125"/>
      <c r="H341" s="83"/>
      <c r="I341" s="83"/>
      <c r="J341" s="84"/>
      <c r="K341" s="114"/>
      <c r="L341" s="115"/>
      <c r="M341" s="80"/>
      <c r="N341" s="85"/>
      <c r="O341" s="85"/>
      <c r="P341" s="84"/>
      <c r="Q341" s="84"/>
      <c r="R341" s="126"/>
      <c r="S341" s="94"/>
    </row>
    <row r="342" spans="2:19" x14ac:dyDescent="0.3">
      <c r="B342" s="144"/>
      <c r="C342" s="133"/>
      <c r="D342" s="87"/>
      <c r="E342" s="83"/>
      <c r="F342" s="81"/>
      <c r="G342" s="125"/>
      <c r="H342" s="83"/>
      <c r="I342" s="83"/>
      <c r="J342" s="84"/>
      <c r="K342" s="114"/>
      <c r="L342" s="115"/>
      <c r="M342" s="80"/>
      <c r="N342" s="85"/>
      <c r="O342" s="85"/>
      <c r="P342" s="84"/>
      <c r="Q342" s="84"/>
      <c r="R342" s="126"/>
      <c r="S342" s="91"/>
    </row>
    <row r="343" spans="2:19" x14ac:dyDescent="0.3">
      <c r="B343" s="146"/>
      <c r="C343" s="146"/>
      <c r="D343" s="210"/>
      <c r="E343" s="91"/>
      <c r="F343" s="91"/>
      <c r="G343" s="91"/>
      <c r="H343" s="91"/>
      <c r="I343" s="91"/>
      <c r="J343" s="94"/>
      <c r="K343" s="91"/>
      <c r="L343" s="130"/>
      <c r="M343" s="91"/>
      <c r="N343" s="91"/>
      <c r="O343" s="91"/>
      <c r="P343" s="94"/>
      <c r="Q343" s="94"/>
      <c r="R343" s="91"/>
      <c r="S343" s="91"/>
    </row>
    <row r="344" spans="2:19" x14ac:dyDescent="0.3">
      <c r="B344" s="146"/>
      <c r="C344" s="146"/>
      <c r="D344" s="210"/>
      <c r="E344" s="91"/>
      <c r="F344" s="91"/>
      <c r="G344" s="91"/>
      <c r="H344" s="91"/>
      <c r="I344" s="91"/>
      <c r="J344" s="94"/>
      <c r="K344" s="91"/>
      <c r="L344" s="130"/>
      <c r="M344" s="91"/>
      <c r="N344" s="91"/>
      <c r="O344" s="91"/>
      <c r="P344" s="94"/>
      <c r="Q344" s="94"/>
      <c r="R344" s="91"/>
      <c r="S344" s="91"/>
    </row>
    <row r="345" spans="2:19" x14ac:dyDescent="0.3">
      <c r="B345" s="146"/>
      <c r="C345" s="146"/>
      <c r="D345" s="210"/>
      <c r="E345" s="91"/>
      <c r="F345" s="91"/>
      <c r="G345" s="91"/>
      <c r="H345" s="91"/>
      <c r="I345" s="91"/>
      <c r="J345" s="94"/>
      <c r="K345" s="91"/>
      <c r="L345" s="131"/>
      <c r="M345" s="91"/>
      <c r="N345" s="91"/>
      <c r="O345" s="91"/>
      <c r="P345" s="94"/>
      <c r="Q345" s="94"/>
      <c r="R345" s="91"/>
      <c r="S345" s="91"/>
    </row>
    <row r="346" spans="2:19" x14ac:dyDescent="0.3">
      <c r="B346" s="146"/>
      <c r="C346" s="146"/>
      <c r="D346" s="210"/>
      <c r="E346" s="91"/>
      <c r="F346" s="91"/>
      <c r="G346" s="91"/>
      <c r="H346" s="91"/>
      <c r="I346" s="91"/>
      <c r="J346" s="94"/>
      <c r="K346" s="91"/>
      <c r="L346" s="130"/>
      <c r="M346" s="91"/>
      <c r="N346" s="91"/>
      <c r="O346" s="91"/>
      <c r="P346" s="94"/>
      <c r="Q346" s="94"/>
      <c r="R346" s="91"/>
      <c r="S346" s="91"/>
    </row>
    <row r="347" spans="2:19" x14ac:dyDescent="0.3">
      <c r="B347" s="146"/>
      <c r="C347" s="146"/>
      <c r="D347" s="210"/>
      <c r="E347" s="91"/>
      <c r="F347" s="91"/>
      <c r="G347" s="91"/>
      <c r="H347" s="91"/>
      <c r="I347" s="91"/>
      <c r="J347" s="94"/>
      <c r="K347" s="91"/>
      <c r="L347" s="130"/>
      <c r="M347" s="91"/>
      <c r="N347" s="91"/>
      <c r="O347" s="91"/>
      <c r="P347" s="94"/>
      <c r="Q347" s="94"/>
      <c r="R347" s="91"/>
      <c r="S347" s="91"/>
    </row>
    <row r="348" spans="2:19" x14ac:dyDescent="0.3">
      <c r="B348" s="146"/>
      <c r="C348" s="146"/>
      <c r="D348" s="210"/>
      <c r="E348" s="91"/>
      <c r="F348" s="91"/>
      <c r="G348" s="91"/>
      <c r="H348" s="91"/>
      <c r="I348" s="91"/>
      <c r="J348" s="94"/>
      <c r="K348" s="91"/>
      <c r="L348" s="130"/>
      <c r="M348" s="91"/>
      <c r="N348" s="91"/>
      <c r="O348" s="91"/>
      <c r="P348" s="94"/>
      <c r="Q348" s="94"/>
      <c r="R348" s="91"/>
      <c r="S348" s="91"/>
    </row>
    <row r="349" spans="2:19" x14ac:dyDescent="0.3">
      <c r="B349" s="146"/>
      <c r="C349" s="146"/>
      <c r="D349" s="210"/>
      <c r="E349" s="91"/>
      <c r="F349" s="91"/>
      <c r="G349" s="91"/>
      <c r="H349" s="91"/>
      <c r="I349" s="91"/>
      <c r="J349" s="94"/>
      <c r="K349" s="91"/>
      <c r="L349" s="130"/>
      <c r="M349" s="91"/>
      <c r="N349" s="91"/>
      <c r="O349" s="91"/>
      <c r="P349" s="94"/>
      <c r="Q349" s="94"/>
      <c r="R349" s="91"/>
      <c r="S349" s="91"/>
    </row>
    <row r="350" spans="2:19" x14ac:dyDescent="0.3">
      <c r="B350" s="146"/>
      <c r="C350" s="146"/>
      <c r="D350" s="210"/>
      <c r="E350" s="91"/>
      <c r="F350" s="91"/>
      <c r="G350" s="91"/>
      <c r="H350" s="91"/>
      <c r="I350" s="91"/>
      <c r="J350" s="91"/>
      <c r="K350" s="91"/>
      <c r="L350" s="130"/>
      <c r="M350" s="91"/>
      <c r="N350" s="91"/>
      <c r="O350" s="91"/>
      <c r="P350" s="94"/>
      <c r="Q350" s="94"/>
      <c r="R350" s="91"/>
      <c r="S350" s="116"/>
    </row>
    <row r="351" spans="2:19" x14ac:dyDescent="0.3">
      <c r="B351" s="156"/>
      <c r="C351" s="149"/>
      <c r="D351" s="213"/>
      <c r="E351" s="132"/>
      <c r="F351" s="132"/>
      <c r="G351" s="132"/>
      <c r="H351" s="132"/>
      <c r="I351" s="132"/>
      <c r="J351" s="132"/>
      <c r="K351" s="132"/>
      <c r="L351" s="132"/>
      <c r="M351" s="132"/>
      <c r="N351" s="132"/>
      <c r="O351" s="132"/>
      <c r="P351" s="132"/>
      <c r="Q351" s="132"/>
      <c r="R351" s="132"/>
      <c r="S351" s="117"/>
    </row>
    <row r="352" spans="2:19" x14ac:dyDescent="0.3">
      <c r="B352" s="155"/>
      <c r="C352" s="148"/>
      <c r="D352" s="212"/>
      <c r="E352" s="117"/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78"/>
    </row>
    <row r="353" spans="2:19" x14ac:dyDescent="0.3">
      <c r="B353" s="142"/>
      <c r="C353" s="142"/>
      <c r="D353" s="20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</row>
    <row r="354" spans="2:19" x14ac:dyDescent="0.3">
      <c r="B354" s="142"/>
      <c r="C354" s="142"/>
      <c r="D354" s="20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</row>
    <row r="355" spans="2:19" x14ac:dyDescent="0.3">
      <c r="B355" s="142"/>
      <c r="C355" s="142"/>
      <c r="D355" s="20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</row>
    <row r="356" spans="2:19" x14ac:dyDescent="0.3">
      <c r="B356" s="144"/>
      <c r="C356" s="144"/>
      <c r="D356" s="118"/>
      <c r="E356" s="80"/>
      <c r="F356" s="81"/>
      <c r="G356" s="82"/>
      <c r="H356" s="83"/>
      <c r="I356" s="83"/>
      <c r="J356" s="88"/>
      <c r="K356" s="114"/>
      <c r="L356" s="115"/>
      <c r="M356" s="80"/>
      <c r="N356" s="119"/>
      <c r="O356" s="119"/>
      <c r="P356" s="88"/>
      <c r="Q356" s="88"/>
      <c r="R356" s="126"/>
      <c r="S356" s="78"/>
    </row>
    <row r="357" spans="2:19" x14ac:dyDescent="0.3">
      <c r="B357" s="144"/>
      <c r="C357" s="144"/>
      <c r="D357" s="118"/>
      <c r="E357" s="80"/>
      <c r="F357" s="81"/>
      <c r="G357" s="82"/>
      <c r="H357" s="83"/>
      <c r="I357" s="83"/>
      <c r="J357" s="88"/>
      <c r="K357" s="114"/>
      <c r="L357" s="115"/>
      <c r="M357" s="80"/>
      <c r="N357" s="119"/>
      <c r="O357" s="119"/>
      <c r="P357" s="88"/>
      <c r="Q357" s="88"/>
      <c r="R357" s="126"/>
      <c r="S357" s="91"/>
    </row>
    <row r="358" spans="2:19" x14ac:dyDescent="0.3">
      <c r="B358" s="144"/>
      <c r="C358" s="144"/>
      <c r="D358" s="87"/>
      <c r="E358" s="80"/>
      <c r="F358" s="81"/>
      <c r="G358" s="125"/>
      <c r="H358" s="83"/>
      <c r="I358" s="83"/>
      <c r="J358" s="84"/>
      <c r="K358" s="114"/>
      <c r="L358" s="115"/>
      <c r="M358" s="80"/>
      <c r="N358" s="85"/>
      <c r="O358" s="85"/>
      <c r="P358" s="84"/>
      <c r="Q358" s="84"/>
      <c r="R358" s="126"/>
      <c r="S358" s="91"/>
    </row>
    <row r="359" spans="2:19" x14ac:dyDescent="0.3">
      <c r="B359" s="144"/>
      <c r="C359" s="144"/>
      <c r="D359" s="118"/>
      <c r="E359" s="80"/>
      <c r="F359" s="81"/>
      <c r="G359" s="82"/>
      <c r="H359" s="83"/>
      <c r="I359" s="83"/>
      <c r="J359" s="88"/>
      <c r="K359" s="114"/>
      <c r="L359" s="115"/>
      <c r="M359" s="80"/>
      <c r="N359" s="119"/>
      <c r="O359" s="119"/>
      <c r="P359" s="88"/>
      <c r="Q359" s="88"/>
      <c r="R359" s="126"/>
      <c r="S359" s="91"/>
    </row>
    <row r="360" spans="2:19" x14ac:dyDescent="0.3">
      <c r="B360" s="144"/>
      <c r="C360" s="133"/>
      <c r="D360" s="87"/>
      <c r="E360" s="83"/>
      <c r="F360" s="81"/>
      <c r="G360" s="125"/>
      <c r="H360" s="83"/>
      <c r="I360" s="83"/>
      <c r="J360" s="84"/>
      <c r="K360" s="114"/>
      <c r="L360" s="115"/>
      <c r="M360" s="80"/>
      <c r="N360" s="85"/>
      <c r="O360" s="85"/>
      <c r="P360" s="84"/>
      <c r="Q360" s="84"/>
      <c r="R360" s="126"/>
      <c r="S360" s="94"/>
    </row>
    <row r="361" spans="2:19" x14ac:dyDescent="0.3">
      <c r="B361" s="144"/>
      <c r="C361" s="133"/>
      <c r="D361" s="87"/>
      <c r="E361" s="83"/>
      <c r="F361" s="81"/>
      <c r="G361" s="125"/>
      <c r="H361" s="83"/>
      <c r="I361" s="83"/>
      <c r="J361" s="84"/>
      <c r="K361" s="114"/>
      <c r="L361" s="115"/>
      <c r="M361" s="80"/>
      <c r="N361" s="85"/>
      <c r="O361" s="85"/>
      <c r="P361" s="84"/>
      <c r="Q361" s="84"/>
      <c r="R361" s="126"/>
      <c r="S361" s="91"/>
    </row>
    <row r="362" spans="2:19" x14ac:dyDescent="0.3">
      <c r="B362" s="146"/>
      <c r="C362" s="146"/>
      <c r="D362" s="210"/>
      <c r="E362" s="91"/>
      <c r="F362" s="91"/>
      <c r="G362" s="91"/>
      <c r="H362" s="91"/>
      <c r="I362" s="91"/>
      <c r="J362" s="94"/>
      <c r="K362" s="91"/>
      <c r="L362" s="130"/>
      <c r="M362" s="91"/>
      <c r="N362" s="91"/>
      <c r="O362" s="91"/>
      <c r="P362" s="94"/>
      <c r="Q362" s="94"/>
      <c r="R362" s="91"/>
      <c r="S362" s="91"/>
    </row>
    <row r="363" spans="2:19" x14ac:dyDescent="0.3">
      <c r="B363" s="146"/>
      <c r="C363" s="146"/>
      <c r="D363" s="210"/>
      <c r="E363" s="91"/>
      <c r="F363" s="91"/>
      <c r="G363" s="91"/>
      <c r="H363" s="91"/>
      <c r="I363" s="91"/>
      <c r="J363" s="94"/>
      <c r="K363" s="91"/>
      <c r="L363" s="130"/>
      <c r="M363" s="91"/>
      <c r="N363" s="91"/>
      <c r="O363" s="91"/>
      <c r="P363" s="94"/>
      <c r="Q363" s="94"/>
      <c r="R363" s="91"/>
      <c r="S363" s="91"/>
    </row>
    <row r="364" spans="2:19" x14ac:dyDescent="0.3">
      <c r="B364" s="146"/>
      <c r="C364" s="146"/>
      <c r="D364" s="210"/>
      <c r="E364" s="91"/>
      <c r="F364" s="91"/>
      <c r="G364" s="91"/>
      <c r="H364" s="91"/>
      <c r="I364" s="91"/>
      <c r="J364" s="94"/>
      <c r="K364" s="91"/>
      <c r="L364" s="131"/>
      <c r="M364" s="91"/>
      <c r="N364" s="91"/>
      <c r="O364" s="91"/>
      <c r="P364" s="94"/>
      <c r="Q364" s="94"/>
      <c r="R364" s="91"/>
      <c r="S364" s="91"/>
    </row>
    <row r="365" spans="2:19" x14ac:dyDescent="0.3">
      <c r="B365" s="146"/>
      <c r="C365" s="146"/>
      <c r="D365" s="210"/>
      <c r="E365" s="91"/>
      <c r="F365" s="91"/>
      <c r="G365" s="91"/>
      <c r="H365" s="91"/>
      <c r="I365" s="91"/>
      <c r="J365" s="94"/>
      <c r="K365" s="91"/>
      <c r="L365" s="130"/>
      <c r="M365" s="91"/>
      <c r="N365" s="91"/>
      <c r="O365" s="91"/>
      <c r="P365" s="94"/>
      <c r="Q365" s="94"/>
      <c r="R365" s="91"/>
      <c r="S365" s="91"/>
    </row>
    <row r="366" spans="2:19" x14ac:dyDescent="0.3">
      <c r="B366" s="146"/>
      <c r="C366" s="146"/>
      <c r="D366" s="210"/>
      <c r="E366" s="91"/>
      <c r="F366" s="91"/>
      <c r="G366" s="91"/>
      <c r="H366" s="91"/>
      <c r="I366" s="91"/>
      <c r="J366" s="94"/>
      <c r="K366" s="91"/>
      <c r="L366" s="130"/>
      <c r="M366" s="91"/>
      <c r="N366" s="91"/>
      <c r="O366" s="91"/>
      <c r="P366" s="94"/>
      <c r="Q366" s="94"/>
      <c r="R366" s="91"/>
      <c r="S366" s="91"/>
    </row>
    <row r="367" spans="2:19" x14ac:dyDescent="0.3">
      <c r="B367" s="146"/>
      <c r="C367" s="146"/>
      <c r="D367" s="210"/>
      <c r="E367" s="91"/>
      <c r="F367" s="91"/>
      <c r="G367" s="91"/>
      <c r="H367" s="91"/>
      <c r="I367" s="91"/>
      <c r="J367" s="94"/>
      <c r="K367" s="91"/>
      <c r="L367" s="130"/>
      <c r="M367" s="91"/>
      <c r="N367" s="91"/>
      <c r="O367" s="91"/>
      <c r="P367" s="94"/>
      <c r="Q367" s="94"/>
      <c r="R367" s="91"/>
      <c r="S367" s="91"/>
    </row>
    <row r="368" spans="2:19" x14ac:dyDescent="0.3">
      <c r="B368" s="146"/>
      <c r="C368" s="146"/>
      <c r="D368" s="210"/>
      <c r="E368" s="91"/>
      <c r="F368" s="91"/>
      <c r="G368" s="91"/>
      <c r="H368" s="91"/>
      <c r="I368" s="91"/>
      <c r="J368" s="94"/>
      <c r="K368" s="91"/>
      <c r="L368" s="130"/>
      <c r="M368" s="91"/>
      <c r="N368" s="91"/>
      <c r="O368" s="91"/>
      <c r="P368" s="94"/>
      <c r="Q368" s="94"/>
      <c r="R368" s="91"/>
      <c r="S368" s="91"/>
    </row>
    <row r="369" spans="2:19" x14ac:dyDescent="0.3">
      <c r="B369" s="146"/>
      <c r="C369" s="146"/>
      <c r="D369" s="210"/>
      <c r="E369" s="91"/>
      <c r="F369" s="91"/>
      <c r="G369" s="91"/>
      <c r="H369" s="91"/>
      <c r="I369" s="91"/>
      <c r="J369" s="91"/>
      <c r="K369" s="91"/>
      <c r="L369" s="130"/>
      <c r="M369" s="91"/>
      <c r="N369" s="91"/>
      <c r="O369" s="91"/>
      <c r="P369" s="94"/>
      <c r="Q369" s="94"/>
      <c r="R369" s="91"/>
      <c r="S369" s="132"/>
    </row>
    <row r="370" spans="2:19" x14ac:dyDescent="0.3">
      <c r="S370" s="117"/>
    </row>
    <row r="371" spans="2:19" x14ac:dyDescent="0.3">
      <c r="B371" s="155"/>
      <c r="C371" s="148"/>
      <c r="D371" s="212"/>
      <c r="E371" s="117"/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78"/>
    </row>
    <row r="372" spans="2:19" x14ac:dyDescent="0.3">
      <c r="B372" s="142"/>
      <c r="C372" s="142"/>
      <c r="D372" s="20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</row>
    <row r="373" spans="2:19" x14ac:dyDescent="0.3">
      <c r="B373" s="142"/>
      <c r="C373" s="142"/>
      <c r="D373" s="20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</row>
    <row r="374" spans="2:19" x14ac:dyDescent="0.3">
      <c r="B374" s="142"/>
      <c r="C374" s="142"/>
      <c r="D374" s="20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</row>
    <row r="375" spans="2:19" x14ac:dyDescent="0.3">
      <c r="B375" s="144"/>
      <c r="C375" s="144"/>
      <c r="D375" s="118"/>
      <c r="E375" s="80"/>
      <c r="F375" s="81"/>
      <c r="G375" s="82"/>
      <c r="H375" s="83"/>
      <c r="I375" s="83"/>
      <c r="J375" s="88"/>
      <c r="K375" s="114"/>
      <c r="L375" s="115"/>
      <c r="M375" s="80"/>
      <c r="N375" s="119"/>
      <c r="O375" s="119"/>
      <c r="P375" s="88"/>
      <c r="Q375" s="88"/>
      <c r="R375" s="126"/>
      <c r="S375" s="78"/>
    </row>
    <row r="376" spans="2:19" x14ac:dyDescent="0.3">
      <c r="B376" s="144"/>
      <c r="C376" s="144"/>
      <c r="D376" s="118"/>
      <c r="E376" s="80"/>
      <c r="F376" s="81"/>
      <c r="G376" s="82"/>
      <c r="H376" s="83"/>
      <c r="I376" s="83"/>
      <c r="J376" s="88"/>
      <c r="K376" s="114"/>
      <c r="L376" s="115"/>
      <c r="M376" s="80"/>
      <c r="N376" s="119"/>
      <c r="O376" s="119"/>
      <c r="P376" s="88"/>
      <c r="Q376" s="88"/>
      <c r="R376" s="126"/>
      <c r="S376" s="91"/>
    </row>
    <row r="377" spans="2:19" x14ac:dyDescent="0.3">
      <c r="B377" s="144"/>
      <c r="C377" s="144"/>
      <c r="D377" s="87"/>
      <c r="E377" s="80"/>
      <c r="F377" s="81"/>
      <c r="G377" s="125"/>
      <c r="H377" s="83"/>
      <c r="I377" s="83"/>
      <c r="J377" s="84"/>
      <c r="K377" s="114"/>
      <c r="L377" s="115"/>
      <c r="M377" s="80"/>
      <c r="N377" s="85"/>
      <c r="O377" s="85"/>
      <c r="P377" s="84"/>
      <c r="Q377" s="84"/>
      <c r="R377" s="126"/>
      <c r="S377" s="91"/>
    </row>
    <row r="378" spans="2:19" x14ac:dyDescent="0.3">
      <c r="B378" s="144"/>
      <c r="C378" s="144"/>
      <c r="D378" s="118"/>
      <c r="E378" s="80"/>
      <c r="F378" s="81"/>
      <c r="G378" s="82"/>
      <c r="H378" s="83"/>
      <c r="I378" s="83"/>
      <c r="J378" s="88"/>
      <c r="K378" s="114"/>
      <c r="L378" s="115"/>
      <c r="M378" s="80"/>
      <c r="N378" s="119"/>
      <c r="O378" s="119"/>
      <c r="P378" s="88"/>
      <c r="Q378" s="88"/>
      <c r="R378" s="126"/>
      <c r="S378" s="91"/>
    </row>
    <row r="379" spans="2:19" x14ac:dyDescent="0.3">
      <c r="B379" s="144"/>
      <c r="C379" s="133"/>
      <c r="D379" s="87"/>
      <c r="E379" s="83"/>
      <c r="F379" s="81"/>
      <c r="G379" s="125"/>
      <c r="H379" s="83"/>
      <c r="I379" s="83"/>
      <c r="J379" s="84"/>
      <c r="K379" s="114"/>
      <c r="L379" s="115"/>
      <c r="M379" s="80"/>
      <c r="N379" s="85"/>
      <c r="O379" s="85"/>
      <c r="P379" s="84"/>
      <c r="Q379" s="84"/>
      <c r="R379" s="126"/>
      <c r="S379" s="94"/>
    </row>
    <row r="380" spans="2:19" x14ac:dyDescent="0.3">
      <c r="B380" s="144"/>
      <c r="C380" s="133"/>
      <c r="D380" s="87"/>
      <c r="E380" s="83"/>
      <c r="F380" s="81"/>
      <c r="G380" s="125"/>
      <c r="H380" s="83"/>
      <c r="I380" s="83"/>
      <c r="J380" s="84"/>
      <c r="K380" s="114"/>
      <c r="L380" s="115"/>
      <c r="M380" s="80"/>
      <c r="N380" s="85"/>
      <c r="O380" s="85"/>
      <c r="P380" s="84"/>
      <c r="Q380" s="84"/>
      <c r="R380" s="126"/>
      <c r="S380" s="91"/>
    </row>
    <row r="381" spans="2:19" x14ac:dyDescent="0.3">
      <c r="B381" s="146"/>
      <c r="C381" s="146"/>
      <c r="D381" s="210"/>
      <c r="E381" s="91"/>
      <c r="F381" s="91"/>
      <c r="G381" s="91"/>
      <c r="H381" s="91"/>
      <c r="I381" s="91"/>
      <c r="J381" s="94"/>
      <c r="K381" s="91"/>
      <c r="L381" s="130"/>
      <c r="M381" s="91"/>
      <c r="N381" s="91"/>
      <c r="O381" s="91"/>
      <c r="P381" s="94"/>
      <c r="Q381" s="94"/>
      <c r="R381" s="91"/>
      <c r="S381" s="91"/>
    </row>
    <row r="382" spans="2:19" x14ac:dyDescent="0.3">
      <c r="B382" s="146"/>
      <c r="C382" s="146"/>
      <c r="D382" s="210"/>
      <c r="E382" s="91"/>
      <c r="F382" s="91"/>
      <c r="G382" s="91"/>
      <c r="H382" s="91"/>
      <c r="I382" s="91"/>
      <c r="J382" s="94"/>
      <c r="K382" s="91"/>
      <c r="L382" s="130"/>
      <c r="M382" s="91"/>
      <c r="N382" s="91"/>
      <c r="O382" s="91"/>
      <c r="P382" s="94"/>
      <c r="Q382" s="94"/>
      <c r="R382" s="91"/>
      <c r="S382" s="91"/>
    </row>
    <row r="383" spans="2:19" x14ac:dyDescent="0.3">
      <c r="B383" s="146"/>
      <c r="C383" s="146"/>
      <c r="D383" s="210"/>
      <c r="E383" s="91"/>
      <c r="F383" s="91"/>
      <c r="G383" s="91"/>
      <c r="H383" s="91"/>
      <c r="I383" s="91"/>
      <c r="J383" s="94"/>
      <c r="K383" s="91"/>
      <c r="L383" s="131"/>
      <c r="M383" s="91"/>
      <c r="N383" s="91"/>
      <c r="O383" s="91"/>
      <c r="P383" s="94"/>
      <c r="Q383" s="94"/>
      <c r="R383" s="91"/>
      <c r="S383" s="91"/>
    </row>
    <row r="384" spans="2:19" x14ac:dyDescent="0.3">
      <c r="B384" s="146"/>
      <c r="C384" s="146"/>
      <c r="D384" s="210"/>
      <c r="E384" s="91"/>
      <c r="F384" s="91"/>
      <c r="G384" s="91"/>
      <c r="H384" s="91"/>
      <c r="I384" s="91"/>
      <c r="J384" s="94"/>
      <c r="K384" s="91"/>
      <c r="L384" s="130"/>
      <c r="M384" s="91"/>
      <c r="N384" s="91"/>
      <c r="O384" s="91"/>
      <c r="P384" s="94"/>
      <c r="Q384" s="94"/>
      <c r="R384" s="91"/>
      <c r="S384" s="91"/>
    </row>
    <row r="385" spans="2:19" x14ac:dyDescent="0.3">
      <c r="B385" s="146"/>
      <c r="C385" s="146"/>
      <c r="D385" s="210"/>
      <c r="E385" s="91"/>
      <c r="F385" s="91"/>
      <c r="G385" s="91"/>
      <c r="H385" s="91"/>
      <c r="I385" s="91"/>
      <c r="J385" s="94"/>
      <c r="K385" s="91"/>
      <c r="L385" s="130"/>
      <c r="M385" s="91"/>
      <c r="N385" s="91"/>
      <c r="O385" s="91"/>
      <c r="P385" s="94"/>
      <c r="Q385" s="94"/>
      <c r="R385" s="91"/>
      <c r="S385" s="91"/>
    </row>
    <row r="386" spans="2:19" x14ac:dyDescent="0.3">
      <c r="B386" s="146"/>
      <c r="C386" s="146"/>
      <c r="D386" s="210"/>
      <c r="E386" s="91"/>
      <c r="F386" s="91"/>
      <c r="G386" s="91"/>
      <c r="H386" s="91"/>
      <c r="I386" s="91"/>
      <c r="J386" s="94"/>
      <c r="K386" s="91"/>
      <c r="L386" s="130"/>
      <c r="M386" s="91"/>
      <c r="N386" s="91"/>
      <c r="O386" s="91"/>
      <c r="P386" s="94"/>
      <c r="Q386" s="94"/>
      <c r="R386" s="91"/>
      <c r="S386" s="91"/>
    </row>
    <row r="387" spans="2:19" x14ac:dyDescent="0.3">
      <c r="B387" s="146"/>
      <c r="C387" s="146"/>
      <c r="D387" s="210"/>
      <c r="E387" s="91"/>
      <c r="F387" s="91"/>
      <c r="G387" s="91"/>
      <c r="H387" s="91"/>
      <c r="I387" s="91"/>
      <c r="J387" s="94"/>
      <c r="K387" s="91"/>
      <c r="L387" s="130"/>
      <c r="M387" s="91"/>
      <c r="N387" s="91"/>
      <c r="O387" s="91"/>
      <c r="P387" s="94"/>
      <c r="Q387" s="94"/>
      <c r="R387" s="91"/>
      <c r="S387" s="91"/>
    </row>
    <row r="388" spans="2:19" x14ac:dyDescent="0.3">
      <c r="B388" s="146"/>
      <c r="C388" s="146"/>
      <c r="D388" s="210"/>
      <c r="E388" s="91"/>
      <c r="F388" s="91"/>
      <c r="G388" s="91"/>
      <c r="H388" s="91"/>
      <c r="I388" s="91"/>
      <c r="J388" s="91"/>
      <c r="K388" s="91"/>
      <c r="L388" s="130"/>
      <c r="M388" s="91"/>
      <c r="N388" s="91"/>
      <c r="O388" s="91"/>
      <c r="P388" s="94"/>
      <c r="Q388" s="94"/>
      <c r="R388" s="91"/>
      <c r="S388" s="132"/>
    </row>
    <row r="389" spans="2:19" x14ac:dyDescent="0.3">
      <c r="S389" s="117"/>
    </row>
    <row r="390" spans="2:19" x14ac:dyDescent="0.3">
      <c r="B390" s="155"/>
      <c r="C390" s="148"/>
      <c r="D390" s="212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78"/>
    </row>
    <row r="391" spans="2:19" x14ac:dyDescent="0.3">
      <c r="B391" s="142"/>
      <c r="C391" s="142"/>
      <c r="D391" s="20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</row>
    <row r="392" spans="2:19" x14ac:dyDescent="0.3">
      <c r="B392" s="142"/>
      <c r="C392" s="142"/>
      <c r="D392" s="20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</row>
    <row r="393" spans="2:19" x14ac:dyDescent="0.3">
      <c r="B393" s="142"/>
      <c r="C393" s="142"/>
      <c r="D393" s="20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</row>
    <row r="394" spans="2:19" x14ac:dyDescent="0.3">
      <c r="B394" s="144"/>
      <c r="C394" s="144"/>
      <c r="D394" s="118"/>
      <c r="E394" s="80"/>
      <c r="F394" s="81"/>
      <c r="G394" s="82"/>
      <c r="H394" s="83"/>
      <c r="I394" s="83"/>
      <c r="J394" s="88"/>
      <c r="K394" s="114"/>
      <c r="L394" s="115"/>
      <c r="M394" s="80"/>
      <c r="N394" s="119"/>
      <c r="O394" s="119"/>
      <c r="P394" s="88"/>
      <c r="Q394" s="88"/>
      <c r="R394" s="126"/>
      <c r="S394" s="78"/>
    </row>
    <row r="395" spans="2:19" x14ac:dyDescent="0.3">
      <c r="B395" s="144"/>
      <c r="C395" s="144"/>
      <c r="D395" s="118"/>
      <c r="E395" s="80"/>
      <c r="F395" s="81"/>
      <c r="G395" s="82"/>
      <c r="H395" s="83"/>
      <c r="I395" s="83"/>
      <c r="J395" s="88"/>
      <c r="K395" s="114"/>
      <c r="L395" s="115"/>
      <c r="M395" s="80"/>
      <c r="N395" s="119"/>
      <c r="O395" s="119"/>
      <c r="P395" s="88"/>
      <c r="Q395" s="88"/>
      <c r="R395" s="126"/>
      <c r="S395" s="91"/>
    </row>
    <row r="396" spans="2:19" x14ac:dyDescent="0.3">
      <c r="B396" s="144"/>
      <c r="C396" s="144"/>
      <c r="D396" s="87"/>
      <c r="E396" s="80"/>
      <c r="F396" s="81"/>
      <c r="G396" s="125"/>
      <c r="H396" s="83"/>
      <c r="I396" s="83"/>
      <c r="J396" s="84"/>
      <c r="K396" s="114"/>
      <c r="L396" s="115"/>
      <c r="M396" s="80"/>
      <c r="N396" s="85"/>
      <c r="O396" s="85"/>
      <c r="P396" s="84"/>
      <c r="Q396" s="84"/>
      <c r="R396" s="126"/>
      <c r="S396" s="91"/>
    </row>
    <row r="397" spans="2:19" x14ac:dyDescent="0.3">
      <c r="B397" s="144"/>
      <c r="C397" s="144"/>
      <c r="D397" s="118"/>
      <c r="E397" s="80"/>
      <c r="F397" s="81"/>
      <c r="G397" s="82"/>
      <c r="H397" s="83"/>
      <c r="I397" s="83"/>
      <c r="J397" s="88"/>
      <c r="K397" s="114"/>
      <c r="L397" s="115"/>
      <c r="M397" s="80"/>
      <c r="N397" s="119"/>
      <c r="O397" s="119"/>
      <c r="P397" s="88"/>
      <c r="Q397" s="88"/>
      <c r="R397" s="126"/>
      <c r="S397" s="91"/>
    </row>
    <row r="398" spans="2:19" x14ac:dyDescent="0.3">
      <c r="B398" s="144"/>
      <c r="C398" s="133"/>
      <c r="D398" s="87"/>
      <c r="E398" s="83"/>
      <c r="F398" s="81"/>
      <c r="G398" s="125"/>
      <c r="H398" s="83"/>
      <c r="I398" s="83"/>
      <c r="J398" s="84"/>
      <c r="K398" s="114"/>
      <c r="L398" s="115"/>
      <c r="M398" s="80"/>
      <c r="N398" s="85"/>
      <c r="O398" s="85"/>
      <c r="P398" s="84"/>
      <c r="Q398" s="84"/>
      <c r="R398" s="126"/>
      <c r="S398" s="94"/>
    </row>
    <row r="399" spans="2:19" x14ac:dyDescent="0.3">
      <c r="B399" s="144"/>
      <c r="C399" s="133"/>
      <c r="D399" s="87"/>
      <c r="E399" s="83"/>
      <c r="F399" s="81"/>
      <c r="G399" s="125"/>
      <c r="H399" s="83"/>
      <c r="I399" s="83"/>
      <c r="J399" s="84"/>
      <c r="K399" s="114"/>
      <c r="L399" s="115"/>
      <c r="M399" s="80"/>
      <c r="N399" s="85"/>
      <c r="O399" s="85"/>
      <c r="P399" s="84"/>
      <c r="Q399" s="84"/>
      <c r="R399" s="126"/>
      <c r="S399" s="91"/>
    </row>
    <row r="400" spans="2:19" x14ac:dyDescent="0.3">
      <c r="B400" s="146"/>
      <c r="C400" s="146"/>
      <c r="D400" s="210"/>
      <c r="E400" s="91"/>
      <c r="F400" s="91"/>
      <c r="G400" s="91"/>
      <c r="H400" s="91"/>
      <c r="I400" s="91"/>
      <c r="J400" s="94"/>
      <c r="K400" s="91"/>
      <c r="L400" s="130"/>
      <c r="M400" s="91"/>
      <c r="N400" s="91"/>
      <c r="O400" s="91"/>
      <c r="P400" s="94"/>
      <c r="Q400" s="94"/>
      <c r="R400" s="91"/>
      <c r="S400" s="91"/>
    </row>
    <row r="401" spans="2:19" x14ac:dyDescent="0.3">
      <c r="B401" s="146"/>
      <c r="C401" s="146"/>
      <c r="D401" s="210"/>
      <c r="E401" s="91"/>
      <c r="F401" s="91"/>
      <c r="G401" s="91"/>
      <c r="H401" s="91"/>
      <c r="I401" s="91"/>
      <c r="J401" s="94"/>
      <c r="K401" s="91"/>
      <c r="L401" s="130"/>
      <c r="M401" s="91"/>
      <c r="N401" s="91"/>
      <c r="O401" s="91"/>
      <c r="P401" s="94"/>
      <c r="Q401" s="94"/>
      <c r="R401" s="91"/>
      <c r="S401" s="91"/>
    </row>
    <row r="402" spans="2:19" x14ac:dyDescent="0.3">
      <c r="B402" s="146"/>
      <c r="C402" s="146"/>
      <c r="D402" s="210"/>
      <c r="E402" s="91"/>
      <c r="F402" s="91"/>
      <c r="G402" s="91"/>
      <c r="H402" s="91"/>
      <c r="I402" s="91"/>
      <c r="J402" s="94"/>
      <c r="K402" s="91"/>
      <c r="L402" s="131"/>
      <c r="M402" s="91"/>
      <c r="N402" s="91"/>
      <c r="O402" s="91"/>
      <c r="P402" s="94"/>
      <c r="Q402" s="94"/>
      <c r="R402" s="91"/>
      <c r="S402" s="91"/>
    </row>
    <row r="403" spans="2:19" x14ac:dyDescent="0.3">
      <c r="B403" s="146"/>
      <c r="C403" s="146"/>
      <c r="D403" s="210"/>
      <c r="E403" s="91"/>
      <c r="F403" s="91"/>
      <c r="G403" s="91"/>
      <c r="H403" s="91"/>
      <c r="I403" s="91"/>
      <c r="J403" s="94"/>
      <c r="K403" s="91"/>
      <c r="L403" s="130"/>
      <c r="M403" s="91"/>
      <c r="N403" s="91"/>
      <c r="O403" s="91"/>
      <c r="P403" s="94"/>
      <c r="Q403" s="94"/>
      <c r="R403" s="91"/>
      <c r="S403" s="91"/>
    </row>
    <row r="404" spans="2:19" x14ac:dyDescent="0.3">
      <c r="B404" s="146"/>
      <c r="C404" s="146"/>
      <c r="D404" s="210"/>
      <c r="E404" s="91"/>
      <c r="F404" s="91"/>
      <c r="G404" s="91"/>
      <c r="H404" s="91"/>
      <c r="I404" s="91"/>
      <c r="J404" s="94"/>
      <c r="K404" s="91"/>
      <c r="L404" s="130"/>
      <c r="M404" s="91"/>
      <c r="N404" s="91"/>
      <c r="O404" s="91"/>
      <c r="P404" s="94"/>
      <c r="Q404" s="94"/>
      <c r="R404" s="91"/>
      <c r="S404" s="91"/>
    </row>
    <row r="405" spans="2:19" x14ac:dyDescent="0.3">
      <c r="B405" s="146"/>
      <c r="C405" s="146"/>
      <c r="D405" s="210"/>
      <c r="E405" s="91"/>
      <c r="F405" s="91"/>
      <c r="G405" s="91"/>
      <c r="H405" s="91"/>
      <c r="I405" s="91"/>
      <c r="J405" s="94"/>
      <c r="K405" s="91"/>
      <c r="L405" s="130"/>
      <c r="M405" s="91"/>
      <c r="N405" s="91"/>
      <c r="O405" s="91"/>
      <c r="P405" s="94"/>
      <c r="Q405" s="94"/>
      <c r="R405" s="91"/>
      <c r="S405" s="91"/>
    </row>
    <row r="406" spans="2:19" x14ac:dyDescent="0.3">
      <c r="B406" s="146"/>
      <c r="C406" s="146"/>
      <c r="D406" s="210"/>
      <c r="E406" s="91"/>
      <c r="F406" s="91"/>
      <c r="G406" s="91"/>
      <c r="H406" s="91"/>
      <c r="I406" s="91"/>
      <c r="J406" s="94"/>
      <c r="K406" s="91"/>
      <c r="L406" s="130"/>
      <c r="M406" s="91"/>
      <c r="N406" s="91"/>
      <c r="O406" s="91"/>
      <c r="P406" s="94"/>
      <c r="Q406" s="94"/>
      <c r="R406" s="91"/>
      <c r="S406" s="91"/>
    </row>
    <row r="407" spans="2:19" x14ac:dyDescent="0.3">
      <c r="B407" s="146"/>
      <c r="C407" s="146"/>
      <c r="D407" s="210"/>
      <c r="E407" s="91"/>
      <c r="F407" s="91"/>
      <c r="G407" s="91"/>
      <c r="H407" s="91"/>
      <c r="I407" s="91"/>
      <c r="J407" s="91"/>
      <c r="K407" s="91"/>
      <c r="L407" s="130"/>
      <c r="M407" s="91"/>
      <c r="N407" s="91"/>
      <c r="O407" s="91"/>
      <c r="P407" s="94"/>
      <c r="Q407" s="94"/>
      <c r="R407" s="91"/>
    </row>
    <row r="408" spans="2:19" x14ac:dyDescent="0.3">
      <c r="S408" s="117"/>
    </row>
    <row r="409" spans="2:19" x14ac:dyDescent="0.3">
      <c r="B409" s="155"/>
      <c r="C409" s="148"/>
      <c r="D409" s="212"/>
      <c r="E409" s="117"/>
      <c r="F409" s="117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78"/>
    </row>
    <row r="410" spans="2:19" x14ac:dyDescent="0.3">
      <c r="B410" s="142"/>
      <c r="C410" s="142"/>
      <c r="D410" s="20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</row>
    <row r="411" spans="2:19" x14ac:dyDescent="0.3">
      <c r="B411" s="142"/>
      <c r="C411" s="142"/>
      <c r="D411" s="20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</row>
    <row r="412" spans="2:19" x14ac:dyDescent="0.3">
      <c r="B412" s="142"/>
      <c r="C412" s="142"/>
      <c r="D412" s="20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</row>
    <row r="413" spans="2:19" x14ac:dyDescent="0.3">
      <c r="B413" s="144"/>
      <c r="C413" s="144"/>
      <c r="D413" s="118"/>
      <c r="E413" s="80"/>
      <c r="F413" s="81"/>
      <c r="G413" s="82"/>
      <c r="H413" s="83"/>
      <c r="I413" s="83"/>
      <c r="J413" s="88"/>
      <c r="K413" s="114"/>
      <c r="L413" s="115"/>
      <c r="M413" s="80"/>
      <c r="N413" s="119"/>
      <c r="O413" s="119"/>
      <c r="P413" s="88"/>
      <c r="Q413" s="88"/>
      <c r="R413" s="126"/>
      <c r="S413" s="78"/>
    </row>
    <row r="414" spans="2:19" x14ac:dyDescent="0.3">
      <c r="B414" s="144"/>
      <c r="C414" s="144"/>
      <c r="D414" s="118"/>
      <c r="E414" s="80"/>
      <c r="F414" s="81"/>
      <c r="G414" s="82"/>
      <c r="H414" s="83"/>
      <c r="I414" s="83"/>
      <c r="J414" s="88"/>
      <c r="K414" s="114"/>
      <c r="L414" s="115"/>
      <c r="M414" s="80"/>
      <c r="N414" s="119"/>
      <c r="O414" s="119"/>
      <c r="P414" s="88"/>
      <c r="Q414" s="88"/>
      <c r="R414" s="126"/>
      <c r="S414" s="91"/>
    </row>
    <row r="415" spans="2:19" x14ac:dyDescent="0.3">
      <c r="B415" s="144"/>
      <c r="C415" s="144"/>
      <c r="D415" s="87"/>
      <c r="E415" s="80"/>
      <c r="F415" s="81"/>
      <c r="G415" s="125"/>
      <c r="H415" s="83"/>
      <c r="I415" s="83"/>
      <c r="J415" s="84"/>
      <c r="K415" s="114"/>
      <c r="L415" s="115"/>
      <c r="M415" s="80"/>
      <c r="N415" s="85"/>
      <c r="O415" s="85"/>
      <c r="P415" s="84"/>
      <c r="Q415" s="84"/>
      <c r="R415" s="126"/>
      <c r="S415" s="91"/>
    </row>
    <row r="416" spans="2:19" x14ac:dyDescent="0.3">
      <c r="B416" s="144"/>
      <c r="C416" s="144"/>
      <c r="D416" s="118"/>
      <c r="E416" s="80"/>
      <c r="F416" s="81"/>
      <c r="G416" s="82"/>
      <c r="H416" s="83"/>
      <c r="I416" s="83"/>
      <c r="J416" s="88"/>
      <c r="K416" s="114"/>
      <c r="L416" s="115"/>
      <c r="M416" s="80"/>
      <c r="N416" s="119"/>
      <c r="O416" s="119"/>
      <c r="P416" s="88"/>
      <c r="Q416" s="88"/>
      <c r="R416" s="126"/>
      <c r="S416" s="91"/>
    </row>
    <row r="417" spans="2:19" x14ac:dyDescent="0.3">
      <c r="B417" s="144"/>
      <c r="C417" s="133"/>
      <c r="D417" s="87"/>
      <c r="E417" s="83"/>
      <c r="F417" s="81"/>
      <c r="G417" s="125"/>
      <c r="H417" s="83"/>
      <c r="I417" s="83"/>
      <c r="J417" s="84"/>
      <c r="K417" s="114"/>
      <c r="L417" s="115"/>
      <c r="M417" s="80"/>
      <c r="N417" s="85"/>
      <c r="O417" s="85"/>
      <c r="P417" s="84"/>
      <c r="Q417" s="84"/>
      <c r="R417" s="126"/>
      <c r="S417" s="94"/>
    </row>
    <row r="418" spans="2:19" x14ac:dyDescent="0.3">
      <c r="B418" s="144"/>
      <c r="C418" s="133"/>
      <c r="D418" s="87"/>
      <c r="E418" s="83"/>
      <c r="F418" s="81"/>
      <c r="G418" s="125"/>
      <c r="H418" s="83"/>
      <c r="I418" s="83"/>
      <c r="J418" s="84"/>
      <c r="K418" s="114"/>
      <c r="L418" s="115"/>
      <c r="M418" s="80"/>
      <c r="N418" s="85"/>
      <c r="O418" s="85"/>
      <c r="P418" s="84"/>
      <c r="Q418" s="84"/>
      <c r="R418" s="126"/>
      <c r="S418" s="91"/>
    </row>
    <row r="419" spans="2:19" x14ac:dyDescent="0.3">
      <c r="B419" s="146"/>
      <c r="C419" s="146"/>
      <c r="D419" s="210"/>
      <c r="E419" s="91"/>
      <c r="F419" s="91"/>
      <c r="G419" s="91"/>
      <c r="H419" s="91"/>
      <c r="I419" s="91"/>
      <c r="J419" s="94"/>
      <c r="K419" s="91"/>
      <c r="L419" s="130"/>
      <c r="M419" s="91"/>
      <c r="N419" s="91"/>
      <c r="O419" s="91"/>
      <c r="P419" s="94"/>
      <c r="Q419" s="94"/>
      <c r="R419" s="91"/>
      <c r="S419" s="91"/>
    </row>
    <row r="420" spans="2:19" x14ac:dyDescent="0.3">
      <c r="B420" s="146"/>
      <c r="C420" s="146"/>
      <c r="D420" s="210"/>
      <c r="E420" s="91"/>
      <c r="F420" s="91"/>
      <c r="G420" s="91"/>
      <c r="H420" s="91"/>
      <c r="I420" s="91"/>
      <c r="J420" s="94"/>
      <c r="K420" s="91"/>
      <c r="L420" s="130"/>
      <c r="M420" s="91"/>
      <c r="N420" s="91"/>
      <c r="O420" s="91"/>
      <c r="P420" s="94"/>
      <c r="Q420" s="94"/>
      <c r="R420" s="91"/>
      <c r="S420" s="91"/>
    </row>
    <row r="421" spans="2:19" x14ac:dyDescent="0.3">
      <c r="B421" s="146"/>
      <c r="C421" s="146"/>
      <c r="D421" s="210"/>
      <c r="E421" s="91"/>
      <c r="F421" s="91"/>
      <c r="G421" s="91"/>
      <c r="H421" s="91"/>
      <c r="I421" s="91"/>
      <c r="J421" s="94"/>
      <c r="K421" s="91"/>
      <c r="L421" s="131"/>
      <c r="M421" s="91"/>
      <c r="N421" s="91"/>
      <c r="O421" s="91"/>
      <c r="P421" s="94"/>
      <c r="Q421" s="94"/>
      <c r="R421" s="91"/>
      <c r="S421" s="91"/>
    </row>
    <row r="422" spans="2:19" x14ac:dyDescent="0.3">
      <c r="B422" s="146"/>
      <c r="C422" s="146"/>
      <c r="D422" s="210"/>
      <c r="E422" s="91"/>
      <c r="F422" s="91"/>
      <c r="G422" s="91"/>
      <c r="H422" s="91"/>
      <c r="I422" s="91"/>
      <c r="J422" s="94"/>
      <c r="K422" s="91"/>
      <c r="L422" s="130"/>
      <c r="M422" s="91"/>
      <c r="N422" s="91"/>
      <c r="O422" s="91"/>
      <c r="P422" s="94"/>
      <c r="Q422" s="94"/>
      <c r="R422" s="91"/>
      <c r="S422" s="91"/>
    </row>
    <row r="423" spans="2:19" x14ac:dyDescent="0.3">
      <c r="B423" s="146"/>
      <c r="C423" s="146"/>
      <c r="D423" s="210"/>
      <c r="E423" s="91"/>
      <c r="F423" s="91"/>
      <c r="G423" s="91"/>
      <c r="H423" s="91"/>
      <c r="I423" s="91"/>
      <c r="J423" s="94"/>
      <c r="K423" s="91"/>
      <c r="L423" s="130"/>
      <c r="M423" s="91"/>
      <c r="N423" s="91"/>
      <c r="O423" s="91"/>
      <c r="P423" s="94"/>
      <c r="Q423" s="94"/>
      <c r="R423" s="91"/>
      <c r="S423" s="91"/>
    </row>
    <row r="424" spans="2:19" x14ac:dyDescent="0.3">
      <c r="B424" s="146"/>
      <c r="C424" s="146"/>
      <c r="D424" s="210"/>
      <c r="E424" s="91"/>
      <c r="F424" s="91"/>
      <c r="G424" s="91"/>
      <c r="H424" s="91"/>
      <c r="I424" s="91"/>
      <c r="J424" s="94"/>
      <c r="K424" s="91"/>
      <c r="L424" s="130"/>
      <c r="M424" s="91"/>
      <c r="N424" s="91"/>
      <c r="O424" s="91"/>
      <c r="P424" s="94"/>
      <c r="Q424" s="94"/>
      <c r="R424" s="91"/>
      <c r="S424" s="91"/>
    </row>
    <row r="425" spans="2:19" x14ac:dyDescent="0.3">
      <c r="B425" s="146"/>
      <c r="C425" s="146"/>
      <c r="D425" s="210"/>
      <c r="E425" s="91"/>
      <c r="F425" s="91"/>
      <c r="G425" s="91"/>
      <c r="H425" s="91"/>
      <c r="I425" s="91"/>
      <c r="J425" s="94"/>
      <c r="K425" s="91"/>
      <c r="L425" s="130"/>
      <c r="M425" s="91"/>
      <c r="N425" s="91"/>
      <c r="O425" s="91"/>
      <c r="P425" s="94"/>
      <c r="Q425" s="94"/>
      <c r="R425" s="91"/>
      <c r="S425" s="91"/>
    </row>
    <row r="426" spans="2:19" x14ac:dyDescent="0.3">
      <c r="B426" s="146"/>
      <c r="C426" s="146"/>
      <c r="D426" s="210"/>
      <c r="E426" s="91"/>
      <c r="F426" s="91"/>
      <c r="G426" s="91"/>
      <c r="H426" s="91"/>
      <c r="I426" s="91"/>
      <c r="J426" s="91"/>
      <c r="K426" s="91"/>
      <c r="L426" s="130"/>
      <c r="M426" s="91"/>
      <c r="N426" s="91"/>
      <c r="O426" s="91"/>
      <c r="P426" s="94"/>
      <c r="Q426" s="94"/>
      <c r="R426" s="91"/>
    </row>
    <row r="427" spans="2:19" x14ac:dyDescent="0.3">
      <c r="S427" s="117"/>
    </row>
    <row r="428" spans="2:19" x14ac:dyDescent="0.3">
      <c r="B428" s="155"/>
      <c r="C428" s="148"/>
      <c r="D428" s="212"/>
      <c r="E428" s="117"/>
      <c r="F428" s="117"/>
      <c r="G428" s="117"/>
      <c r="H428" s="117"/>
      <c r="I428" s="117"/>
      <c r="J428" s="117"/>
      <c r="K428" s="117"/>
      <c r="L428" s="117"/>
      <c r="M428" s="117"/>
      <c r="N428" s="117"/>
      <c r="O428" s="117"/>
      <c r="P428" s="117"/>
      <c r="Q428" s="117"/>
      <c r="R428" s="117"/>
      <c r="S428" s="78"/>
    </row>
    <row r="429" spans="2:19" x14ac:dyDescent="0.3">
      <c r="B429" s="142"/>
      <c r="C429" s="142"/>
      <c r="D429" s="20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</row>
    <row r="430" spans="2:19" x14ac:dyDescent="0.3">
      <c r="B430" s="142"/>
      <c r="C430" s="142"/>
      <c r="D430" s="20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</row>
    <row r="431" spans="2:19" x14ac:dyDescent="0.3">
      <c r="B431" s="142"/>
      <c r="C431" s="142"/>
      <c r="D431" s="20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</row>
    <row r="432" spans="2:19" x14ac:dyDescent="0.3">
      <c r="B432" s="144"/>
      <c r="C432" s="144"/>
      <c r="D432" s="118"/>
      <c r="E432" s="80"/>
      <c r="F432" s="81"/>
      <c r="G432" s="82"/>
      <c r="H432" s="83"/>
      <c r="I432" s="83"/>
      <c r="J432" s="88"/>
      <c r="K432" s="114"/>
      <c r="L432" s="115"/>
      <c r="M432" s="80"/>
      <c r="N432" s="119"/>
      <c r="O432" s="119"/>
      <c r="P432" s="88"/>
      <c r="Q432" s="88"/>
      <c r="R432" s="126"/>
      <c r="S432" s="78"/>
    </row>
    <row r="433" spans="2:19" x14ac:dyDescent="0.3">
      <c r="B433" s="144"/>
      <c r="C433" s="144"/>
      <c r="D433" s="118"/>
      <c r="E433" s="80"/>
      <c r="F433" s="81"/>
      <c r="G433" s="82"/>
      <c r="H433" s="83"/>
      <c r="I433" s="83"/>
      <c r="J433" s="88"/>
      <c r="K433" s="114"/>
      <c r="L433" s="115"/>
      <c r="M433" s="80"/>
      <c r="N433" s="119"/>
      <c r="O433" s="119"/>
      <c r="P433" s="88"/>
      <c r="Q433" s="88"/>
      <c r="R433" s="126"/>
      <c r="S433" s="91"/>
    </row>
    <row r="434" spans="2:19" x14ac:dyDescent="0.3">
      <c r="B434" s="144"/>
      <c r="C434" s="144"/>
      <c r="D434" s="87"/>
      <c r="E434" s="80"/>
      <c r="F434" s="81"/>
      <c r="G434" s="125"/>
      <c r="H434" s="83"/>
      <c r="I434" s="83"/>
      <c r="J434" s="84"/>
      <c r="K434" s="114"/>
      <c r="L434" s="115"/>
      <c r="M434" s="80"/>
      <c r="N434" s="85"/>
      <c r="O434" s="85"/>
      <c r="P434" s="84"/>
      <c r="Q434" s="84"/>
      <c r="R434" s="126"/>
      <c r="S434" s="91"/>
    </row>
    <row r="435" spans="2:19" x14ac:dyDescent="0.3">
      <c r="B435" s="144"/>
      <c r="C435" s="144"/>
      <c r="D435" s="118"/>
      <c r="E435" s="80"/>
      <c r="F435" s="81"/>
      <c r="G435" s="82"/>
      <c r="H435" s="83"/>
      <c r="I435" s="83"/>
      <c r="J435" s="88"/>
      <c r="K435" s="114"/>
      <c r="L435" s="115"/>
      <c r="M435" s="80"/>
      <c r="N435" s="119"/>
      <c r="O435" s="119"/>
      <c r="P435" s="88"/>
      <c r="Q435" s="88"/>
      <c r="R435" s="126"/>
      <c r="S435" s="91"/>
    </row>
    <row r="436" spans="2:19" x14ac:dyDescent="0.3">
      <c r="B436" s="144"/>
      <c r="C436" s="133"/>
      <c r="D436" s="87"/>
      <c r="E436" s="83"/>
      <c r="F436" s="81"/>
      <c r="G436" s="125"/>
      <c r="H436" s="83"/>
      <c r="I436" s="83"/>
      <c r="J436" s="84"/>
      <c r="K436" s="114"/>
      <c r="L436" s="115"/>
      <c r="M436" s="80"/>
      <c r="N436" s="85"/>
      <c r="O436" s="85"/>
      <c r="P436" s="84"/>
      <c r="Q436" s="84"/>
      <c r="R436" s="126"/>
      <c r="S436" s="94"/>
    </row>
    <row r="437" spans="2:19" x14ac:dyDescent="0.3">
      <c r="B437" s="144"/>
      <c r="C437" s="133"/>
      <c r="D437" s="87"/>
      <c r="E437" s="83"/>
      <c r="F437" s="81"/>
      <c r="G437" s="125"/>
      <c r="H437" s="83"/>
      <c r="I437" s="83"/>
      <c r="J437" s="84"/>
      <c r="K437" s="114"/>
      <c r="L437" s="115"/>
      <c r="M437" s="80"/>
      <c r="N437" s="85"/>
      <c r="O437" s="85"/>
      <c r="P437" s="84"/>
      <c r="Q437" s="84"/>
      <c r="R437" s="126"/>
      <c r="S437" s="91"/>
    </row>
    <row r="438" spans="2:19" x14ac:dyDescent="0.3">
      <c r="B438" s="146"/>
      <c r="C438" s="146"/>
      <c r="D438" s="210"/>
      <c r="E438" s="91"/>
      <c r="F438" s="91"/>
      <c r="G438" s="91"/>
      <c r="H438" s="91"/>
      <c r="I438" s="91"/>
      <c r="J438" s="94"/>
      <c r="K438" s="91"/>
      <c r="L438" s="130"/>
      <c r="M438" s="91"/>
      <c r="N438" s="91"/>
      <c r="O438" s="91"/>
      <c r="P438" s="94"/>
      <c r="Q438" s="94"/>
      <c r="R438" s="91"/>
      <c r="S438" s="91"/>
    </row>
    <row r="439" spans="2:19" x14ac:dyDescent="0.3">
      <c r="B439" s="146"/>
      <c r="C439" s="146"/>
      <c r="D439" s="210"/>
      <c r="E439" s="91"/>
      <c r="F439" s="91"/>
      <c r="G439" s="91"/>
      <c r="H439" s="91"/>
      <c r="I439" s="91"/>
      <c r="J439" s="94"/>
      <c r="K439" s="91"/>
      <c r="L439" s="130"/>
      <c r="M439" s="91"/>
      <c r="N439" s="91"/>
      <c r="O439" s="91"/>
      <c r="P439" s="94"/>
      <c r="Q439" s="94"/>
      <c r="R439" s="91"/>
      <c r="S439" s="91"/>
    </row>
    <row r="440" spans="2:19" x14ac:dyDescent="0.3">
      <c r="B440" s="146"/>
      <c r="C440" s="146"/>
      <c r="D440" s="210"/>
      <c r="E440" s="91"/>
      <c r="F440" s="91"/>
      <c r="G440" s="91"/>
      <c r="H440" s="91"/>
      <c r="I440" s="91"/>
      <c r="J440" s="94"/>
      <c r="K440" s="91"/>
      <c r="L440" s="131"/>
      <c r="M440" s="91"/>
      <c r="N440" s="91"/>
      <c r="O440" s="91"/>
      <c r="P440" s="94"/>
      <c r="Q440" s="94"/>
      <c r="R440" s="91"/>
      <c r="S440" s="91"/>
    </row>
    <row r="441" spans="2:19" x14ac:dyDescent="0.3">
      <c r="B441" s="146"/>
      <c r="C441" s="146"/>
      <c r="D441" s="210"/>
      <c r="E441" s="91"/>
      <c r="F441" s="91"/>
      <c r="G441" s="91"/>
      <c r="H441" s="91"/>
      <c r="I441" s="91"/>
      <c r="J441" s="94"/>
      <c r="K441" s="91"/>
      <c r="L441" s="130"/>
      <c r="M441" s="91"/>
      <c r="N441" s="91"/>
      <c r="O441" s="91"/>
      <c r="P441" s="94"/>
      <c r="Q441" s="94"/>
      <c r="R441" s="91"/>
      <c r="S441" s="91"/>
    </row>
    <row r="442" spans="2:19" x14ac:dyDescent="0.3">
      <c r="B442" s="146"/>
      <c r="C442" s="146"/>
      <c r="D442" s="210"/>
      <c r="E442" s="91"/>
      <c r="F442" s="91"/>
      <c r="G442" s="91"/>
      <c r="H442" s="91"/>
      <c r="I442" s="91"/>
      <c r="J442" s="94"/>
      <c r="K442" s="91"/>
      <c r="L442" s="130"/>
      <c r="M442" s="91"/>
      <c r="N442" s="91"/>
      <c r="O442" s="91"/>
      <c r="P442" s="94"/>
      <c r="Q442" s="94"/>
      <c r="R442" s="91"/>
      <c r="S442" s="91"/>
    </row>
    <row r="443" spans="2:19" x14ac:dyDescent="0.3">
      <c r="B443" s="146"/>
      <c r="C443" s="146"/>
      <c r="D443" s="210"/>
      <c r="E443" s="91"/>
      <c r="F443" s="91"/>
      <c r="G443" s="91"/>
      <c r="H443" s="91"/>
      <c r="I443" s="91"/>
      <c r="J443" s="94"/>
      <c r="K443" s="91"/>
      <c r="L443" s="130"/>
      <c r="M443" s="91"/>
      <c r="N443" s="91"/>
      <c r="O443" s="91"/>
      <c r="P443" s="94"/>
      <c r="Q443" s="94"/>
      <c r="R443" s="91"/>
      <c r="S443" s="91"/>
    </row>
    <row r="444" spans="2:19" x14ac:dyDescent="0.3">
      <c r="B444" s="146"/>
      <c r="C444" s="146"/>
      <c r="D444" s="210"/>
      <c r="E444" s="91"/>
      <c r="F444" s="91"/>
      <c r="G444" s="91"/>
      <c r="H444" s="91"/>
      <c r="I444" s="91"/>
      <c r="J444" s="94"/>
      <c r="K444" s="91"/>
      <c r="L444" s="130"/>
      <c r="M444" s="91"/>
      <c r="N444" s="91"/>
      <c r="O444" s="91"/>
      <c r="P444" s="94"/>
      <c r="Q444" s="94"/>
      <c r="R444" s="91"/>
      <c r="S444" s="91"/>
    </row>
    <row r="445" spans="2:19" x14ac:dyDescent="0.3">
      <c r="B445" s="146"/>
      <c r="C445" s="146"/>
      <c r="D445" s="210"/>
      <c r="E445" s="91"/>
      <c r="F445" s="91"/>
      <c r="G445" s="91"/>
      <c r="H445" s="91"/>
      <c r="I445" s="91"/>
      <c r="J445" s="91"/>
      <c r="K445" s="91"/>
      <c r="L445" s="130"/>
      <c r="M445" s="91"/>
      <c r="N445" s="91"/>
      <c r="O445" s="91"/>
      <c r="P445" s="94"/>
      <c r="Q445" s="94"/>
      <c r="R445" s="91"/>
    </row>
    <row r="446" spans="2:19" x14ac:dyDescent="0.3">
      <c r="S446" s="117"/>
    </row>
    <row r="447" spans="2:19" x14ac:dyDescent="0.3">
      <c r="B447" s="155"/>
      <c r="C447" s="148"/>
      <c r="D447" s="212"/>
      <c r="E447" s="117"/>
      <c r="F447" s="117"/>
      <c r="G447" s="117"/>
      <c r="H447" s="117"/>
      <c r="I447" s="117"/>
      <c r="J447" s="117"/>
      <c r="K447" s="117"/>
      <c r="L447" s="117"/>
      <c r="M447" s="117"/>
      <c r="N447" s="117"/>
      <c r="O447" s="117"/>
      <c r="P447" s="117"/>
      <c r="Q447" s="117"/>
      <c r="R447" s="117"/>
      <c r="S447" s="78"/>
    </row>
    <row r="448" spans="2:19" x14ac:dyDescent="0.3">
      <c r="B448" s="142"/>
      <c r="C448" s="142"/>
      <c r="D448" s="20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</row>
    <row r="449" spans="2:19" x14ac:dyDescent="0.3">
      <c r="B449" s="142"/>
      <c r="C449" s="142"/>
      <c r="D449" s="20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</row>
    <row r="450" spans="2:19" x14ac:dyDescent="0.3">
      <c r="B450" s="142"/>
      <c r="C450" s="142"/>
      <c r="D450" s="20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</row>
    <row r="451" spans="2:19" x14ac:dyDescent="0.3">
      <c r="B451" s="144"/>
      <c r="C451" s="144"/>
      <c r="D451" s="118"/>
      <c r="E451" s="80"/>
      <c r="F451" s="81"/>
      <c r="G451" s="82"/>
      <c r="H451" s="83"/>
      <c r="I451" s="83"/>
      <c r="J451" s="88"/>
      <c r="K451" s="114"/>
      <c r="L451" s="115"/>
      <c r="M451" s="80"/>
      <c r="N451" s="119"/>
      <c r="O451" s="119"/>
      <c r="P451" s="88"/>
      <c r="Q451" s="88"/>
      <c r="R451" s="126"/>
      <c r="S451" s="78"/>
    </row>
    <row r="452" spans="2:19" x14ac:dyDescent="0.3">
      <c r="B452" s="144"/>
      <c r="C452" s="144"/>
      <c r="D452" s="118"/>
      <c r="E452" s="80"/>
      <c r="F452" s="81"/>
      <c r="G452" s="82"/>
      <c r="H452" s="83"/>
      <c r="I452" s="83"/>
      <c r="J452" s="88"/>
      <c r="K452" s="114"/>
      <c r="L452" s="115"/>
      <c r="M452" s="80"/>
      <c r="N452" s="119"/>
      <c r="O452" s="119"/>
      <c r="P452" s="88"/>
      <c r="Q452" s="88"/>
      <c r="R452" s="126"/>
      <c r="S452" s="91"/>
    </row>
    <row r="453" spans="2:19" x14ac:dyDescent="0.3">
      <c r="B453" s="144"/>
      <c r="C453" s="144"/>
      <c r="D453" s="87"/>
      <c r="E453" s="80"/>
      <c r="F453" s="81"/>
      <c r="G453" s="125"/>
      <c r="H453" s="83"/>
      <c r="I453" s="83"/>
      <c r="J453" s="84"/>
      <c r="K453" s="114"/>
      <c r="L453" s="115"/>
      <c r="M453" s="80"/>
      <c r="N453" s="85"/>
      <c r="O453" s="85"/>
      <c r="P453" s="84"/>
      <c r="Q453" s="84"/>
      <c r="R453" s="126"/>
      <c r="S453" s="91"/>
    </row>
    <row r="454" spans="2:19" x14ac:dyDescent="0.3">
      <c r="B454" s="144"/>
      <c r="C454" s="144"/>
      <c r="D454" s="118"/>
      <c r="E454" s="80"/>
      <c r="F454" s="81"/>
      <c r="G454" s="82"/>
      <c r="H454" s="83"/>
      <c r="I454" s="83"/>
      <c r="J454" s="88"/>
      <c r="K454" s="114"/>
      <c r="L454" s="115"/>
      <c r="M454" s="80"/>
      <c r="N454" s="119"/>
      <c r="O454" s="119"/>
      <c r="P454" s="88"/>
      <c r="Q454" s="88"/>
      <c r="R454" s="126"/>
      <c r="S454" s="91"/>
    </row>
    <row r="455" spans="2:19" x14ac:dyDescent="0.3">
      <c r="B455" s="144"/>
      <c r="C455" s="133"/>
      <c r="D455" s="87"/>
      <c r="E455" s="83"/>
      <c r="F455" s="81"/>
      <c r="G455" s="125"/>
      <c r="H455" s="83"/>
      <c r="I455" s="83"/>
      <c r="J455" s="84"/>
      <c r="K455" s="114"/>
      <c r="L455" s="115"/>
      <c r="M455" s="80"/>
      <c r="N455" s="85"/>
      <c r="O455" s="85"/>
      <c r="P455" s="84"/>
      <c r="Q455" s="84"/>
      <c r="R455" s="126"/>
      <c r="S455" s="94"/>
    </row>
    <row r="456" spans="2:19" x14ac:dyDescent="0.3">
      <c r="B456" s="144"/>
      <c r="C456" s="133"/>
      <c r="D456" s="87"/>
      <c r="E456" s="83"/>
      <c r="F456" s="81"/>
      <c r="G456" s="125"/>
      <c r="H456" s="83"/>
      <c r="I456" s="83"/>
      <c r="J456" s="84"/>
      <c r="K456" s="114"/>
      <c r="L456" s="115"/>
      <c r="M456" s="80"/>
      <c r="N456" s="85"/>
      <c r="O456" s="85"/>
      <c r="P456" s="84"/>
      <c r="Q456" s="84"/>
      <c r="R456" s="126"/>
      <c r="S456" s="91"/>
    </row>
    <row r="457" spans="2:19" x14ac:dyDescent="0.3">
      <c r="B457" s="146"/>
      <c r="C457" s="146"/>
      <c r="D457" s="210"/>
      <c r="E457" s="91"/>
      <c r="F457" s="91"/>
      <c r="G457" s="91"/>
      <c r="H457" s="91"/>
      <c r="I457" s="91"/>
      <c r="J457" s="94"/>
      <c r="K457" s="91"/>
      <c r="L457" s="130"/>
      <c r="M457" s="91"/>
      <c r="N457" s="91"/>
      <c r="O457" s="91"/>
      <c r="P457" s="94"/>
      <c r="Q457" s="94"/>
      <c r="R457" s="91"/>
      <c r="S457" s="91"/>
    </row>
    <row r="458" spans="2:19" x14ac:dyDescent="0.3">
      <c r="B458" s="146"/>
      <c r="C458" s="146"/>
      <c r="D458" s="210"/>
      <c r="E458" s="91"/>
      <c r="F458" s="91"/>
      <c r="G458" s="91"/>
      <c r="H458" s="91"/>
      <c r="I458" s="91"/>
      <c r="J458" s="94"/>
      <c r="K458" s="91"/>
      <c r="L458" s="130"/>
      <c r="M458" s="91"/>
      <c r="N458" s="91"/>
      <c r="O458" s="91"/>
      <c r="P458" s="94"/>
      <c r="Q458" s="94"/>
      <c r="R458" s="91"/>
      <c r="S458" s="91"/>
    </row>
    <row r="459" spans="2:19" x14ac:dyDescent="0.3">
      <c r="B459" s="146"/>
      <c r="C459" s="146"/>
      <c r="D459" s="210"/>
      <c r="E459" s="91"/>
      <c r="F459" s="91"/>
      <c r="G459" s="91"/>
      <c r="H459" s="91"/>
      <c r="I459" s="91"/>
      <c r="J459" s="94"/>
      <c r="K459" s="91"/>
      <c r="L459" s="131"/>
      <c r="M459" s="91"/>
      <c r="N459" s="91"/>
      <c r="O459" s="91"/>
      <c r="P459" s="94"/>
      <c r="Q459" s="94"/>
      <c r="R459" s="91"/>
      <c r="S459" s="91"/>
    </row>
    <row r="460" spans="2:19" x14ac:dyDescent="0.3">
      <c r="B460" s="146"/>
      <c r="C460" s="146"/>
      <c r="D460" s="210"/>
      <c r="E460" s="91"/>
      <c r="F460" s="91"/>
      <c r="G460" s="91"/>
      <c r="H460" s="91"/>
      <c r="I460" s="91"/>
      <c r="J460" s="94"/>
      <c r="K460" s="91"/>
      <c r="L460" s="130"/>
      <c r="M460" s="91"/>
      <c r="N460" s="91"/>
      <c r="O460" s="91"/>
      <c r="P460" s="94"/>
      <c r="Q460" s="94"/>
      <c r="R460" s="91"/>
      <c r="S460" s="91"/>
    </row>
    <row r="461" spans="2:19" x14ac:dyDescent="0.3">
      <c r="B461" s="146"/>
      <c r="C461" s="146"/>
      <c r="D461" s="210"/>
      <c r="E461" s="91"/>
      <c r="F461" s="91"/>
      <c r="G461" s="91"/>
      <c r="H461" s="91"/>
      <c r="I461" s="91"/>
      <c r="J461" s="94"/>
      <c r="K461" s="91"/>
      <c r="L461" s="130"/>
      <c r="M461" s="91"/>
      <c r="N461" s="91"/>
      <c r="O461" s="91"/>
      <c r="P461" s="94"/>
      <c r="Q461" s="94"/>
      <c r="R461" s="91"/>
      <c r="S461" s="91"/>
    </row>
    <row r="462" spans="2:19" x14ac:dyDescent="0.3">
      <c r="B462" s="146"/>
      <c r="C462" s="146"/>
      <c r="D462" s="210"/>
      <c r="E462" s="91"/>
      <c r="F462" s="91"/>
      <c r="G462" s="91"/>
      <c r="H462" s="91"/>
      <c r="I462" s="91"/>
      <c r="J462" s="94"/>
      <c r="K462" s="91"/>
      <c r="L462" s="130"/>
      <c r="M462" s="91"/>
      <c r="N462" s="91"/>
      <c r="O462" s="91"/>
      <c r="P462" s="94"/>
      <c r="Q462" s="94"/>
      <c r="R462" s="91"/>
      <c r="S462" s="91"/>
    </row>
    <row r="463" spans="2:19" x14ac:dyDescent="0.3">
      <c r="B463" s="146"/>
      <c r="C463" s="146"/>
      <c r="D463" s="210"/>
      <c r="E463" s="91"/>
      <c r="F463" s="91"/>
      <c r="G463" s="91"/>
      <c r="H463" s="91"/>
      <c r="I463" s="91"/>
      <c r="J463" s="94"/>
      <c r="K463" s="91"/>
      <c r="L463" s="130"/>
      <c r="M463" s="91"/>
      <c r="N463" s="91"/>
      <c r="O463" s="91"/>
      <c r="P463" s="94"/>
      <c r="Q463" s="94"/>
      <c r="R463" s="91"/>
      <c r="S463" s="91"/>
    </row>
    <row r="464" spans="2:19" x14ac:dyDescent="0.3">
      <c r="B464" s="146"/>
      <c r="C464" s="146"/>
      <c r="D464" s="210"/>
      <c r="E464" s="91"/>
      <c r="F464" s="91"/>
      <c r="G464" s="91"/>
      <c r="H464" s="91"/>
      <c r="I464" s="91"/>
      <c r="J464" s="91"/>
      <c r="K464" s="91"/>
      <c r="L464" s="130"/>
      <c r="M464" s="91"/>
      <c r="N464" s="91"/>
      <c r="O464" s="91"/>
      <c r="P464" s="94"/>
      <c r="Q464" s="94"/>
      <c r="R464" s="91"/>
    </row>
    <row r="465" spans="2:19" x14ac:dyDescent="0.3">
      <c r="S465" s="117"/>
    </row>
    <row r="466" spans="2:19" x14ac:dyDescent="0.3">
      <c r="B466" s="155"/>
      <c r="C466" s="148"/>
      <c r="D466" s="212"/>
      <c r="E466" s="117"/>
      <c r="F466" s="117"/>
      <c r="G466" s="117"/>
      <c r="H466" s="117"/>
      <c r="I466" s="117"/>
      <c r="J466" s="117"/>
      <c r="K466" s="117"/>
      <c r="L466" s="117"/>
      <c r="M466" s="117"/>
      <c r="N466" s="117"/>
      <c r="O466" s="117"/>
      <c r="P466" s="117"/>
      <c r="Q466" s="117"/>
      <c r="R466" s="117"/>
      <c r="S466" s="78"/>
    </row>
    <row r="467" spans="2:19" x14ac:dyDescent="0.3">
      <c r="B467" s="142"/>
      <c r="C467" s="142"/>
      <c r="D467" s="20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</row>
    <row r="468" spans="2:19" x14ac:dyDescent="0.3">
      <c r="B468" s="142"/>
      <c r="C468" s="142"/>
      <c r="D468" s="20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</row>
    <row r="469" spans="2:19" x14ac:dyDescent="0.3">
      <c r="B469" s="142"/>
      <c r="C469" s="142"/>
      <c r="D469" s="20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</row>
    <row r="470" spans="2:19" x14ac:dyDescent="0.3">
      <c r="B470" s="144"/>
      <c r="C470" s="144"/>
      <c r="D470" s="118"/>
      <c r="E470" s="80"/>
      <c r="F470" s="81"/>
      <c r="G470" s="82"/>
      <c r="H470" s="83"/>
      <c r="I470" s="83"/>
      <c r="J470" s="88"/>
      <c r="K470" s="114"/>
      <c r="L470" s="115"/>
      <c r="M470" s="80"/>
      <c r="N470" s="119"/>
      <c r="O470" s="119"/>
      <c r="P470" s="88"/>
      <c r="Q470" s="88"/>
      <c r="R470" s="126"/>
      <c r="S470" s="78"/>
    </row>
    <row r="471" spans="2:19" x14ac:dyDescent="0.3">
      <c r="B471" s="144"/>
      <c r="C471" s="144"/>
      <c r="D471" s="118"/>
      <c r="E471" s="80"/>
      <c r="F471" s="81"/>
      <c r="G471" s="82"/>
      <c r="H471" s="83"/>
      <c r="I471" s="83"/>
      <c r="J471" s="88"/>
      <c r="K471" s="114"/>
      <c r="L471" s="115"/>
      <c r="M471" s="80"/>
      <c r="N471" s="119"/>
      <c r="O471" s="119"/>
      <c r="P471" s="88"/>
      <c r="Q471" s="88"/>
      <c r="R471" s="126"/>
      <c r="S471" s="91"/>
    </row>
    <row r="472" spans="2:19" x14ac:dyDescent="0.3">
      <c r="B472" s="144"/>
      <c r="C472" s="144"/>
      <c r="D472" s="87"/>
      <c r="E472" s="80"/>
      <c r="F472" s="81"/>
      <c r="G472" s="125"/>
      <c r="H472" s="83"/>
      <c r="I472" s="83"/>
      <c r="J472" s="84"/>
      <c r="K472" s="114"/>
      <c r="L472" s="115"/>
      <c r="M472" s="80"/>
      <c r="N472" s="85"/>
      <c r="O472" s="85"/>
      <c r="P472" s="84"/>
      <c r="Q472" s="84"/>
      <c r="R472" s="126"/>
      <c r="S472" s="91"/>
    </row>
    <row r="473" spans="2:19" x14ac:dyDescent="0.3">
      <c r="B473" s="144"/>
      <c r="C473" s="144"/>
      <c r="D473" s="118"/>
      <c r="E473" s="80"/>
      <c r="F473" s="81"/>
      <c r="G473" s="82"/>
      <c r="H473" s="83"/>
      <c r="I473" s="83"/>
      <c r="J473" s="88"/>
      <c r="K473" s="114"/>
      <c r="L473" s="115"/>
      <c r="M473" s="80"/>
      <c r="N473" s="119"/>
      <c r="O473" s="119"/>
      <c r="P473" s="88"/>
      <c r="Q473" s="88"/>
      <c r="R473" s="126"/>
      <c r="S473" s="91"/>
    </row>
    <row r="474" spans="2:19" x14ac:dyDescent="0.3">
      <c r="B474" s="144"/>
      <c r="C474" s="133"/>
      <c r="D474" s="87"/>
      <c r="E474" s="83"/>
      <c r="F474" s="81"/>
      <c r="G474" s="125"/>
      <c r="H474" s="83"/>
      <c r="I474" s="83"/>
      <c r="J474" s="84"/>
      <c r="K474" s="114"/>
      <c r="L474" s="115"/>
      <c r="M474" s="80"/>
      <c r="N474" s="85"/>
      <c r="O474" s="85"/>
      <c r="P474" s="84"/>
      <c r="Q474" s="84"/>
      <c r="R474" s="126"/>
      <c r="S474" s="94"/>
    </row>
    <row r="475" spans="2:19" x14ac:dyDescent="0.3">
      <c r="B475" s="144"/>
      <c r="C475" s="133"/>
      <c r="D475" s="87"/>
      <c r="E475" s="83"/>
      <c r="F475" s="81"/>
      <c r="G475" s="125"/>
      <c r="H475" s="83"/>
      <c r="I475" s="83"/>
      <c r="J475" s="84"/>
      <c r="K475" s="114"/>
      <c r="L475" s="115"/>
      <c r="M475" s="80"/>
      <c r="N475" s="85"/>
      <c r="O475" s="85"/>
      <c r="P475" s="84"/>
      <c r="Q475" s="84"/>
      <c r="R475" s="126"/>
      <c r="S475" s="91"/>
    </row>
    <row r="476" spans="2:19" x14ac:dyDescent="0.3">
      <c r="B476" s="146"/>
      <c r="C476" s="146"/>
      <c r="D476" s="210"/>
      <c r="E476" s="91"/>
      <c r="F476" s="91"/>
      <c r="G476" s="91"/>
      <c r="H476" s="91"/>
      <c r="I476" s="91"/>
      <c r="J476" s="94"/>
      <c r="K476" s="91"/>
      <c r="L476" s="130"/>
      <c r="M476" s="91"/>
      <c r="N476" s="91"/>
      <c r="O476" s="91"/>
      <c r="P476" s="94"/>
      <c r="Q476" s="94"/>
      <c r="R476" s="91"/>
      <c r="S476" s="91"/>
    </row>
    <row r="477" spans="2:19" x14ac:dyDescent="0.3">
      <c r="B477" s="146"/>
      <c r="C477" s="146"/>
      <c r="D477" s="210"/>
      <c r="E477" s="91"/>
      <c r="F477" s="91"/>
      <c r="G477" s="91"/>
      <c r="H477" s="91"/>
      <c r="I477" s="91"/>
      <c r="J477" s="94"/>
      <c r="K477" s="91"/>
      <c r="L477" s="130"/>
      <c r="M477" s="91"/>
      <c r="N477" s="91"/>
      <c r="O477" s="91"/>
      <c r="P477" s="94"/>
      <c r="Q477" s="94"/>
      <c r="R477" s="91"/>
      <c r="S477" s="91"/>
    </row>
    <row r="478" spans="2:19" x14ac:dyDescent="0.3">
      <c r="B478" s="146"/>
      <c r="C478" s="146"/>
      <c r="D478" s="210"/>
      <c r="E478" s="91"/>
      <c r="F478" s="91"/>
      <c r="G478" s="91"/>
      <c r="H478" s="91"/>
      <c r="I478" s="91"/>
      <c r="J478" s="94"/>
      <c r="K478" s="91"/>
      <c r="L478" s="131"/>
      <c r="M478" s="91"/>
      <c r="N478" s="91"/>
      <c r="O478" s="91"/>
      <c r="P478" s="94"/>
      <c r="Q478" s="94"/>
      <c r="R478" s="91"/>
      <c r="S478" s="91"/>
    </row>
    <row r="479" spans="2:19" x14ac:dyDescent="0.3">
      <c r="B479" s="146"/>
      <c r="C479" s="146"/>
      <c r="D479" s="210"/>
      <c r="E479" s="91"/>
      <c r="F479" s="91"/>
      <c r="G479" s="91"/>
      <c r="H479" s="91"/>
      <c r="I479" s="91"/>
      <c r="J479" s="94"/>
      <c r="K479" s="91"/>
      <c r="L479" s="130"/>
      <c r="M479" s="91"/>
      <c r="N479" s="91"/>
      <c r="O479" s="91"/>
      <c r="P479" s="94"/>
      <c r="Q479" s="94"/>
      <c r="R479" s="91"/>
      <c r="S479" s="91"/>
    </row>
    <row r="480" spans="2:19" x14ac:dyDescent="0.3">
      <c r="B480" s="146"/>
      <c r="C480" s="146"/>
      <c r="D480" s="210"/>
      <c r="E480" s="91"/>
      <c r="F480" s="91"/>
      <c r="G480" s="91"/>
      <c r="H480" s="91"/>
      <c r="I480" s="91"/>
      <c r="J480" s="94"/>
      <c r="K480" s="91"/>
      <c r="L480" s="130"/>
      <c r="M480" s="91"/>
      <c r="N480" s="91"/>
      <c r="O480" s="91"/>
      <c r="P480" s="94"/>
      <c r="Q480" s="94"/>
      <c r="R480" s="91"/>
      <c r="S480" s="91"/>
    </row>
    <row r="481" spans="2:19" x14ac:dyDescent="0.3">
      <c r="B481" s="146"/>
      <c r="C481" s="146"/>
      <c r="D481" s="210"/>
      <c r="E481" s="91"/>
      <c r="F481" s="91"/>
      <c r="G481" s="91"/>
      <c r="H481" s="91"/>
      <c r="I481" s="91"/>
      <c r="J481" s="94"/>
      <c r="K481" s="91"/>
      <c r="L481" s="130"/>
      <c r="M481" s="91"/>
      <c r="N481" s="91"/>
      <c r="O481" s="91"/>
      <c r="P481" s="94"/>
      <c r="Q481" s="94"/>
      <c r="R481" s="91"/>
      <c r="S481" s="91"/>
    </row>
    <row r="482" spans="2:19" x14ac:dyDescent="0.3">
      <c r="B482" s="146"/>
      <c r="C482" s="146"/>
      <c r="D482" s="210"/>
      <c r="E482" s="91"/>
      <c r="F482" s="91"/>
      <c r="G482" s="91"/>
      <c r="H482" s="91"/>
      <c r="I482" s="91"/>
      <c r="J482" s="94"/>
      <c r="K482" s="91"/>
      <c r="L482" s="130"/>
      <c r="M482" s="91"/>
      <c r="N482" s="91"/>
      <c r="O482" s="91"/>
      <c r="P482" s="94"/>
      <c r="Q482" s="94"/>
      <c r="R482" s="91"/>
      <c r="S482" s="91"/>
    </row>
    <row r="483" spans="2:19" x14ac:dyDescent="0.3">
      <c r="B483" s="146"/>
      <c r="C483" s="146"/>
      <c r="D483" s="210"/>
      <c r="E483" s="91"/>
      <c r="F483" s="91"/>
      <c r="G483" s="91"/>
      <c r="H483" s="91"/>
      <c r="I483" s="91"/>
      <c r="J483" s="91"/>
      <c r="K483" s="91"/>
      <c r="L483" s="130"/>
      <c r="M483" s="91"/>
      <c r="N483" s="91"/>
      <c r="O483" s="91"/>
      <c r="P483" s="94"/>
      <c r="Q483" s="94"/>
      <c r="R483" s="91"/>
    </row>
    <row r="484" spans="2:19" x14ac:dyDescent="0.3">
      <c r="S484" s="117"/>
    </row>
    <row r="485" spans="2:19" x14ac:dyDescent="0.3">
      <c r="S485" s="78"/>
    </row>
    <row r="486" spans="2:19" x14ac:dyDescent="0.3">
      <c r="S486" s="78"/>
    </row>
    <row r="487" spans="2:19" x14ac:dyDescent="0.3">
      <c r="S487" s="78"/>
    </row>
    <row r="488" spans="2:19" x14ac:dyDescent="0.3">
      <c r="S488" s="78"/>
    </row>
    <row r="489" spans="2:19" x14ac:dyDescent="0.3">
      <c r="S489" s="78"/>
    </row>
    <row r="490" spans="2:19" x14ac:dyDescent="0.3">
      <c r="S490" s="91"/>
    </row>
    <row r="491" spans="2:19" x14ac:dyDescent="0.3">
      <c r="S491" s="91"/>
    </row>
    <row r="492" spans="2:19" x14ac:dyDescent="0.3">
      <c r="S492" s="91"/>
    </row>
    <row r="493" spans="2:19" x14ac:dyDescent="0.3">
      <c r="S493" s="94"/>
    </row>
    <row r="494" spans="2:19" x14ac:dyDescent="0.3">
      <c r="S494" s="91"/>
    </row>
    <row r="495" spans="2:19" x14ac:dyDescent="0.3">
      <c r="S495" s="91"/>
    </row>
  </sheetData>
  <sortState xmlns:xlrd2="http://schemas.microsoft.com/office/spreadsheetml/2017/richdata2" ref="A2:V495">
    <sortCondition ref="A2:A495"/>
    <sortCondition ref="B2:B495"/>
    <sortCondition ref="D2:D495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37146-76CA-4268-8E40-DFDE7FF052DB}">
  <sheetPr codeName="Planilha3"/>
  <dimension ref="A1:N10"/>
  <sheetViews>
    <sheetView workbookViewId="0">
      <selection activeCell="C3" sqref="C3"/>
    </sheetView>
  </sheetViews>
  <sheetFormatPr defaultRowHeight="18" customHeight="1" x14ac:dyDescent="0.3"/>
  <cols>
    <col min="1" max="1" width="11.88671875" style="182" bestFit="1" customWidth="1"/>
    <col min="2" max="2" width="12" style="176" bestFit="1" customWidth="1"/>
    <col min="3" max="3" width="58.6640625" style="176" bestFit="1" customWidth="1"/>
    <col min="4" max="4" width="29.77734375" style="176" bestFit="1" customWidth="1"/>
    <col min="5" max="5" width="3.21875" style="176" bestFit="1" customWidth="1"/>
    <col min="6" max="6" width="9.6640625" style="176" bestFit="1" customWidth="1"/>
    <col min="7" max="7" width="13.33203125" style="176" bestFit="1" customWidth="1"/>
    <col min="8" max="8" width="7.44140625" style="176" bestFit="1" customWidth="1"/>
    <col min="9" max="9" width="7.33203125" style="176" bestFit="1" customWidth="1"/>
    <col min="10" max="10" width="3.21875" style="176" bestFit="1" customWidth="1"/>
    <col min="11" max="11" width="12.5546875" style="176" bestFit="1" customWidth="1"/>
    <col min="12" max="12" width="17.77734375" style="176" bestFit="1" customWidth="1"/>
    <col min="13" max="13" width="19.88671875" style="176" bestFit="1" customWidth="1"/>
    <col min="14" max="14" width="25.5546875" style="176" bestFit="1" customWidth="1"/>
    <col min="15" max="16384" width="8.88671875" style="176"/>
  </cols>
  <sheetData>
    <row r="1" spans="1:14" s="178" customFormat="1" ht="18" customHeight="1" x14ac:dyDescent="0.3">
      <c r="A1" s="183" t="s">
        <v>152</v>
      </c>
      <c r="B1" s="183" t="s">
        <v>151</v>
      </c>
      <c r="C1" s="183" t="s">
        <v>150</v>
      </c>
      <c r="D1" s="183" t="s">
        <v>153</v>
      </c>
      <c r="E1" s="183" t="s">
        <v>154</v>
      </c>
      <c r="F1" s="183" t="s">
        <v>155</v>
      </c>
      <c r="G1" s="183" t="s">
        <v>156</v>
      </c>
      <c r="H1" s="183" t="s">
        <v>157</v>
      </c>
      <c r="I1" s="183" t="s">
        <v>135</v>
      </c>
      <c r="J1" s="183" t="s">
        <v>158</v>
      </c>
      <c r="K1" s="183" t="s">
        <v>108</v>
      </c>
      <c r="L1" s="183" t="s">
        <v>110</v>
      </c>
      <c r="M1" s="183" t="s">
        <v>130</v>
      </c>
      <c r="N1" s="183" t="s">
        <v>10</v>
      </c>
    </row>
    <row r="2" spans="1:14" ht="18" customHeight="1" x14ac:dyDescent="0.3">
      <c r="A2" s="181">
        <v>1</v>
      </c>
      <c r="B2" s="177" t="s">
        <v>172</v>
      </c>
      <c r="C2" s="177" t="s">
        <v>83</v>
      </c>
      <c r="D2" s="177" t="s">
        <v>99</v>
      </c>
      <c r="E2" s="177">
        <v>97</v>
      </c>
      <c r="F2" s="177" t="s">
        <v>101</v>
      </c>
      <c r="G2" s="177">
        <v>1111</v>
      </c>
      <c r="H2" s="177" t="s">
        <v>104</v>
      </c>
      <c r="I2" s="177" t="s">
        <v>106</v>
      </c>
      <c r="J2" s="177" t="s">
        <v>159</v>
      </c>
      <c r="K2" s="177" t="s">
        <v>109</v>
      </c>
      <c r="L2" s="177" t="s">
        <v>160</v>
      </c>
      <c r="M2" s="179">
        <v>254729215</v>
      </c>
      <c r="N2" s="180" t="s">
        <v>161</v>
      </c>
    </row>
    <row r="3" spans="1:14" ht="18" customHeight="1" x14ac:dyDescent="0.3">
      <c r="A3" s="181"/>
      <c r="B3" s="177"/>
      <c r="C3" s="177"/>
      <c r="D3" s="177"/>
      <c r="E3" s="177"/>
      <c r="F3" s="177"/>
      <c r="G3" s="177"/>
      <c r="H3" s="177"/>
      <c r="I3" s="177"/>
      <c r="J3" s="177"/>
      <c r="K3" s="177"/>
      <c r="L3" s="177"/>
      <c r="M3" s="177"/>
      <c r="N3" s="177"/>
    </row>
    <row r="4" spans="1:14" ht="18" customHeight="1" x14ac:dyDescent="0.3">
      <c r="A4" s="181"/>
      <c r="B4" s="177"/>
      <c r="C4" s="177"/>
      <c r="D4" s="177"/>
      <c r="E4" s="177"/>
      <c r="F4" s="177"/>
      <c r="G4" s="177"/>
      <c r="H4" s="177"/>
      <c r="I4" s="177"/>
      <c r="J4" s="177"/>
      <c r="K4" s="177"/>
      <c r="L4" s="177"/>
      <c r="M4" s="177"/>
      <c r="N4" s="177"/>
    </row>
    <row r="5" spans="1:14" ht="18" customHeight="1" x14ac:dyDescent="0.3">
      <c r="A5" s="181"/>
      <c r="B5" s="177"/>
      <c r="C5" s="177"/>
      <c r="D5" s="177"/>
      <c r="E5" s="177"/>
      <c r="F5" s="177"/>
      <c r="G5" s="177"/>
      <c r="H5" s="177"/>
      <c r="I5" s="177"/>
      <c r="J5" s="177"/>
      <c r="K5" s="177"/>
      <c r="L5" s="177"/>
      <c r="M5" s="177"/>
      <c r="N5" s="177"/>
    </row>
    <row r="6" spans="1:14" ht="18" customHeight="1" x14ac:dyDescent="0.3">
      <c r="A6" s="181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</row>
    <row r="7" spans="1:14" ht="18" customHeight="1" x14ac:dyDescent="0.3">
      <c r="A7" s="181"/>
      <c r="B7" s="177"/>
      <c r="C7" s="177"/>
      <c r="D7" s="177"/>
      <c r="E7" s="177"/>
      <c r="F7" s="177"/>
      <c r="G7" s="177"/>
      <c r="H7" s="177"/>
      <c r="I7" s="177"/>
      <c r="J7" s="177"/>
      <c r="K7" s="177"/>
      <c r="L7" s="177"/>
      <c r="M7" s="177"/>
      <c r="N7" s="177"/>
    </row>
    <row r="8" spans="1:14" ht="18" customHeight="1" x14ac:dyDescent="0.3">
      <c r="A8" s="181"/>
      <c r="B8" s="177"/>
      <c r="C8" s="177"/>
      <c r="D8" s="177"/>
      <c r="E8" s="177"/>
      <c r="F8" s="177"/>
      <c r="G8" s="177"/>
      <c r="H8" s="177"/>
      <c r="I8" s="177"/>
      <c r="J8" s="177"/>
      <c r="K8" s="177"/>
      <c r="L8" s="177"/>
      <c r="M8" s="177"/>
      <c r="N8" s="177"/>
    </row>
    <row r="9" spans="1:14" ht="18" customHeight="1" x14ac:dyDescent="0.3">
      <c r="A9" s="181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</row>
    <row r="10" spans="1:14" ht="18" customHeight="1" x14ac:dyDescent="0.3">
      <c r="A10" s="181"/>
      <c r="B10" s="177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9"/>
      <c r="N10" s="180"/>
    </row>
  </sheetData>
  <hyperlinks>
    <hyperlink ref="N2" r:id="rId1" xr:uid="{685ED844-5993-4A54-A054-D4C5EA75434C}"/>
  </hyperlink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13B92-6DD1-48C8-B2DE-D33718C73DF0}">
  <sheetPr codeName="Planilha4"/>
  <dimension ref="A1:O21"/>
  <sheetViews>
    <sheetView zoomScale="70" zoomScaleNormal="70" workbookViewId="0">
      <selection activeCell="B2" sqref="B2"/>
    </sheetView>
  </sheetViews>
  <sheetFormatPr defaultRowHeight="14.4" x14ac:dyDescent="0.3"/>
  <cols>
    <col min="1" max="1" width="11.88671875" bestFit="1" customWidth="1"/>
    <col min="2" max="2" width="27.6640625" bestFit="1" customWidth="1"/>
    <col min="3" max="3" width="25.33203125" bestFit="1" customWidth="1"/>
    <col min="4" max="4" width="5.5546875" bestFit="1" customWidth="1"/>
    <col min="5" max="5" width="10.5546875" bestFit="1" customWidth="1"/>
    <col min="6" max="6" width="13.44140625" bestFit="1" customWidth="1"/>
    <col min="7" max="7" width="10.109375" bestFit="1" customWidth="1"/>
    <col min="8" max="8" width="7.44140625" bestFit="1" customWidth="1"/>
    <col min="9" max="9" width="3.33203125" bestFit="1" customWidth="1"/>
    <col min="10" max="10" width="13.33203125" bestFit="1" customWidth="1"/>
    <col min="11" max="11" width="23.88671875" bestFit="1" customWidth="1"/>
    <col min="12" max="12" width="21.6640625" bestFit="1" customWidth="1"/>
    <col min="13" max="13" width="19.33203125" bestFit="1" customWidth="1"/>
    <col min="14" max="14" width="20.109375" bestFit="1" customWidth="1"/>
    <col min="15" max="15" width="21.6640625" bestFit="1" customWidth="1"/>
  </cols>
  <sheetData>
    <row r="1" spans="1:15" s="184" customFormat="1" x14ac:dyDescent="0.3">
      <c r="A1" s="183" t="s">
        <v>152</v>
      </c>
      <c r="B1" s="186" t="s">
        <v>1</v>
      </c>
      <c r="C1" s="186" t="s">
        <v>153</v>
      </c>
      <c r="D1" s="186" t="s">
        <v>154</v>
      </c>
      <c r="E1" s="186" t="s">
        <v>155</v>
      </c>
      <c r="F1" s="186" t="s">
        <v>156</v>
      </c>
      <c r="G1" s="186" t="s">
        <v>157</v>
      </c>
      <c r="H1" s="186" t="s">
        <v>135</v>
      </c>
      <c r="I1" s="186" t="s">
        <v>158</v>
      </c>
      <c r="J1" s="186" t="s">
        <v>108</v>
      </c>
      <c r="K1" s="186" t="s">
        <v>162</v>
      </c>
      <c r="L1" s="186" t="s">
        <v>10</v>
      </c>
      <c r="M1" s="186" t="s">
        <v>110</v>
      </c>
      <c r="N1" s="186" t="s">
        <v>130</v>
      </c>
      <c r="O1" s="186" t="s">
        <v>163</v>
      </c>
    </row>
    <row r="2" spans="1:15" x14ac:dyDescent="0.3">
      <c r="A2" s="181">
        <v>1</v>
      </c>
      <c r="B2" s="89" t="s">
        <v>71</v>
      </c>
      <c r="C2" s="89" t="s">
        <v>164</v>
      </c>
      <c r="D2" s="89">
        <v>1313</v>
      </c>
      <c r="E2" s="89" t="s">
        <v>114</v>
      </c>
      <c r="F2" s="89"/>
      <c r="G2" s="89" t="s">
        <v>165</v>
      </c>
      <c r="H2" s="89" t="s">
        <v>166</v>
      </c>
      <c r="I2" s="89" t="s">
        <v>167</v>
      </c>
      <c r="J2" s="89" t="s">
        <v>168</v>
      </c>
      <c r="K2" s="89" t="s">
        <v>169</v>
      </c>
      <c r="L2" s="187" t="s">
        <v>170</v>
      </c>
      <c r="M2" s="89" t="s">
        <v>171</v>
      </c>
      <c r="N2" s="188">
        <v>387321251114</v>
      </c>
      <c r="O2" s="187" t="s">
        <v>170</v>
      </c>
    </row>
    <row r="3" spans="1:15" x14ac:dyDescent="0.3">
      <c r="A3" s="181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</row>
    <row r="4" spans="1:15" x14ac:dyDescent="0.3">
      <c r="A4" s="181"/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</row>
    <row r="5" spans="1:15" x14ac:dyDescent="0.3">
      <c r="A5" s="181"/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</row>
    <row r="6" spans="1:15" x14ac:dyDescent="0.3">
      <c r="A6" s="89"/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</row>
    <row r="7" spans="1:15" x14ac:dyDescent="0.3">
      <c r="A7" s="89"/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</row>
    <row r="8" spans="1:15" x14ac:dyDescent="0.3">
      <c r="A8" s="89"/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</row>
    <row r="9" spans="1:15" x14ac:dyDescent="0.3">
      <c r="A9" s="89"/>
      <c r="B9" s="89"/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</row>
    <row r="10" spans="1:15" x14ac:dyDescent="0.3">
      <c r="A10" s="89"/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</row>
    <row r="11" spans="1:15" x14ac:dyDescent="0.3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</row>
    <row r="12" spans="1:15" x14ac:dyDescent="0.3">
      <c r="A12" s="89"/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</row>
    <row r="13" spans="1:15" x14ac:dyDescent="0.3">
      <c r="A13" s="89"/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</row>
    <row r="14" spans="1:15" x14ac:dyDescent="0.3">
      <c r="A14" s="89"/>
      <c r="B14" s="89"/>
      <c r="C14" s="89"/>
      <c r="D14" s="89"/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89"/>
    </row>
    <row r="15" spans="1:15" x14ac:dyDescent="0.3">
      <c r="A15" s="89"/>
      <c r="B15" s="89"/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</row>
    <row r="16" spans="1:15" x14ac:dyDescent="0.3">
      <c r="A16" s="89"/>
      <c r="B16" s="89"/>
      <c r="C16" s="89"/>
      <c r="D16" s="89"/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89"/>
    </row>
    <row r="17" spans="1:15" x14ac:dyDescent="0.3">
      <c r="A17" s="89"/>
      <c r="B17" s="89"/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</row>
    <row r="18" spans="1:15" x14ac:dyDescent="0.3">
      <c r="A18" s="89"/>
      <c r="B18" s="89"/>
      <c r="C18" s="89"/>
      <c r="D18" s="89"/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89"/>
    </row>
    <row r="19" spans="1:15" x14ac:dyDescent="0.3">
      <c r="A19" s="89"/>
      <c r="B19" s="89"/>
      <c r="C19" s="89"/>
      <c r="D19" s="89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</row>
    <row r="20" spans="1:15" x14ac:dyDescent="0.3">
      <c r="A20" s="89"/>
      <c r="B20" s="89"/>
      <c r="C20" s="89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</row>
    <row r="21" spans="1:15" x14ac:dyDescent="0.3">
      <c r="A21" s="89"/>
      <c r="B21" s="89"/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</row>
  </sheetData>
  <hyperlinks>
    <hyperlink ref="L2" r:id="rId1" xr:uid="{F640002C-A898-46C4-AF96-54D6BBEA1CB8}"/>
    <hyperlink ref="O2" r:id="rId2" xr:uid="{0203D8C2-F209-49AE-9C58-E6C712049F4F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112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2</vt:i4>
      </vt:variant>
    </vt:vector>
  </HeadingPairs>
  <TitlesOfParts>
    <vt:vector size="6" baseType="lpstr">
      <vt:lpstr>Nota</vt:lpstr>
      <vt:lpstr>Historico</vt:lpstr>
      <vt:lpstr>Fornecedores</vt:lpstr>
      <vt:lpstr>Clientes</vt:lpstr>
      <vt:lpstr>ListaClientes</vt:lpstr>
      <vt:lpstr>ListaFornecedores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Marcio</dc:creator>
  <cp:lastModifiedBy>leandro outi baroni</cp:lastModifiedBy>
  <cp:revision>64</cp:revision>
  <cp:lastPrinted>2022-07-13T18:52:05Z</cp:lastPrinted>
  <dcterms:created xsi:type="dcterms:W3CDTF">2010-09-20T10:36:01Z</dcterms:created>
  <dcterms:modified xsi:type="dcterms:W3CDTF">2026-02-09T18:46:04Z</dcterms:modified>
</cp:coreProperties>
</file>